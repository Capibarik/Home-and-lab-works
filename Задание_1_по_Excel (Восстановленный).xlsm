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Рабочий_стол\Домашние_задания_на_компе\2_курс\ЭВМ\СРС\Excel\"/>
    </mc:Choice>
  </mc:AlternateContent>
  <xr:revisionPtr revIDLastSave="0" documentId="13_ncr:1_{879594B0-E012-4360-B0FB-85931F73BACA}" xr6:coauthVersionLast="47" xr6:coauthVersionMax="47" xr10:uidLastSave="{00000000-0000-0000-0000-000000000000}"/>
  <bookViews>
    <workbookView xWindow="-108" yWindow="-108" windowWidth="22776" windowHeight="12456" xr2:uid="{00000000-000D-0000-FFFF-FFFF00000000}"/>
  </bookViews>
  <sheets>
    <sheet name="Магазины вычислительной техники" sheetId="1" r:id="rId1"/>
  </sheets>
  <functionGroups builtInGroupCount="19"/>
  <definedNames>
    <definedName name="_xlnm._FilterDatabase" localSheetId="0" hidden="1">'Магазины вычислительной техники'!$D$4:$D$15</definedName>
    <definedName name="_xlnm.Criteria" localSheetId="0">'Магазины вычислительной техники'!$E$4:$E$15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1" l="1"/>
  <c r="I14" i="1"/>
  <c r="H14" i="1"/>
  <c r="I6" i="1"/>
  <c r="H6" i="1"/>
  <c r="I5" i="1"/>
  <c r="H5" i="1"/>
  <c r="I4" i="1"/>
  <c r="H4" i="1"/>
  <c r="I8" i="1"/>
  <c r="H8" i="1"/>
  <c r="I7" i="1"/>
  <c r="H7" i="1"/>
  <c r="I11" i="1"/>
  <c r="H11" i="1"/>
  <c r="I10" i="1"/>
  <c r="H10" i="1"/>
  <c r="I9" i="1"/>
  <c r="H9" i="1"/>
  <c r="I12" i="1"/>
  <c r="H12" i="1"/>
  <c r="I15" i="1"/>
  <c r="H15" i="1"/>
  <c r="I13" i="1"/>
  <c r="H13" i="1"/>
  <c r="C18" i="1"/>
</calcChain>
</file>

<file path=xl/sharedStrings.xml><?xml version="1.0" encoding="utf-8"?>
<sst xmlns="http://schemas.openxmlformats.org/spreadsheetml/2006/main" count="61" uniqueCount="33">
  <si>
    <t>Название магазинов</t>
  </si>
  <si>
    <t>Поступило шт.</t>
  </si>
  <si>
    <t>Продано шт.</t>
  </si>
  <si>
    <t>Примечания</t>
  </si>
  <si>
    <t>Дата проверки</t>
  </si>
  <si>
    <t>Apple for People</t>
  </si>
  <si>
    <t>Apple Imperia</t>
  </si>
  <si>
    <t>Apple Shop</t>
  </si>
  <si>
    <t>APPLE WILD</t>
  </si>
  <si>
    <t>AVT – Техника</t>
  </si>
  <si>
    <t>Blackview</t>
  </si>
  <si>
    <t>CaseBar</t>
  </si>
  <si>
    <t>CrazyGamer</t>
  </si>
  <si>
    <t>Digital Reseller</t>
  </si>
  <si>
    <t>NextStore</t>
  </si>
  <si>
    <t>Китай</t>
  </si>
  <si>
    <t>Россия</t>
  </si>
  <si>
    <t>RaRaGaming</t>
  </si>
  <si>
    <t>Япония</t>
  </si>
  <si>
    <t>Intel Media</t>
  </si>
  <si>
    <t>США</t>
  </si>
  <si>
    <t>Бытовой</t>
  </si>
  <si>
    <t>Учебный</t>
  </si>
  <si>
    <t>Профессиональный</t>
  </si>
  <si>
    <t>-</t>
  </si>
  <si>
    <t xml:space="preserve">Средняя цена японского ПЭВМ   </t>
  </si>
  <si>
    <t>Минимальная цены
американского ПЭВМ</t>
  </si>
  <si>
    <t>Цена
единицы</t>
  </si>
  <si>
    <t>Страна
изготовитель</t>
  </si>
  <si>
    <t>Тип
ПЭВМ</t>
  </si>
  <si>
    <t>Стоимость
поступивших</t>
  </si>
  <si>
    <t>Стоимость
проданных</t>
  </si>
  <si>
    <t>Магазины вычислительной техники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</si>
</sst>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#,##0.00\ &quot;₽&quot;"/>
    <numFmt numFmtId="166" formatCode="_-* #,##0.00\ [$₽-419]_-;\-* #,##0.00\ [$₽-419]_-;_-* &quot;-&quot;??\ [$₽-419]_-;_-@_-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name val="Times New Roman"/>
    </font>
    <font>
      <sz val="11"/>
      <color theme="1"/>
      <name val="Times New Roman"/>
    </font>
    <font>
      <sz val="8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3" fillId="0" borderId="1" xfId="1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165" fontId="3" fillId="0" borderId="0" xfId="0" applyNumberFormat="1" applyFont="1"/>
    <xf numFmtId="44" fontId="3" fillId="0" borderId="0" xfId="2" applyFont="1"/>
    <xf numFmtId="0" fontId="4" fillId="0" borderId="2" xfId="0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0" borderId="0" xfId="2" applyNumberFormat="1" applyFont="1"/>
    <xf numFmtId="0" fontId="3" fillId="0" borderId="1" xfId="0" applyFont="1" applyBorder="1" applyAlignment="1">
      <alignment wrapText="1"/>
    </xf>
    <xf numFmtId="166" fontId="3" fillId="0" borderId="1" xfId="0" applyNumberFormat="1" applyFont="1" applyBorder="1"/>
    <xf numFmtId="0" fontId="3" fillId="2" borderId="1" xfId="0" applyFont="1" applyFill="1" applyBorder="1" applyAlignment="1">
      <alignment wrapText="1"/>
    </xf>
    <xf numFmtId="165" fontId="3" fillId="2" borderId="1" xfId="2" applyNumberFormat="1" applyFont="1" applyFill="1" applyBorder="1"/>
    <xf numFmtId="0" fontId="5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/>
    </xf>
    <xf numFmtId="0" fontId="6" fillId="0" borderId="8" xfId="1" applyNumberFormat="1" applyFont="1" applyBorder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3">
    <cellStyle name="Денежный" xfId="2" builtinId="4"/>
    <cellStyle name="Обычный" xfId="0" builtinId="0"/>
    <cellStyle name="Финансовый" xfId="1" builtinId="3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#,##0.00\ &quot;₽&quot;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#,##0.00\ &quot;₽&quot;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#,##0.00\ &quot;₽&quot;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B3:K15" headerRowDxfId="23" dataDxfId="21" headerRowBorderDxfId="22" tableBorderDxfId="20" totalsRowBorderDxfId="19">
  <autoFilter ref="B3:K15" xr:uid="{00000000-000C-0000-FFFF-FFFF00000000}"/>
  <sortState xmlns:xlrd2="http://schemas.microsoft.com/office/spreadsheetml/2017/richdata2" ref="B4:K15">
    <sortCondition ref="B3:B15"/>
  </sortState>
  <tableColumns count="10">
    <tableColumn id="1" xr3:uid="{00000000-0010-0000-0000-000001000000}" name="Название магазинов" totalsRowLabel="Итог" dataDxfId="18" totalsRowDxfId="17"/>
    <tableColumn id="2" xr3:uid="{00000000-0010-0000-0000-000002000000}" name="Тип_x000a_ПЭВМ" dataDxfId="16" totalsRowDxfId="15"/>
    <tableColumn id="3" xr3:uid="{00000000-0010-0000-0000-000003000000}" name="Страна_x000a_изготовитель" dataDxfId="14" totalsRowDxfId="13"/>
    <tableColumn id="4" xr3:uid="{00000000-0010-0000-0000-000004000000}" name="Цена_x000a_единицы" dataDxfId="12" totalsRowDxfId="11"/>
    <tableColumn id="5" xr3:uid="{00000000-0010-0000-0000-000005000000}" name="Поступило шт." dataDxfId="10" totalsRowDxfId="9"/>
    <tableColumn id="6" xr3:uid="{00000000-0010-0000-0000-000006000000}" name="Продано шт." dataDxfId="8" totalsRowDxfId="7"/>
    <tableColumn id="7" xr3:uid="{00000000-0010-0000-0000-000007000000}" name="Стоимость_x000a_поступивших" dataDxfId="6" totalsRowDxfId="5">
      <calculatedColumnFormula>E4*F4</calculatedColumnFormula>
    </tableColumn>
    <tableColumn id="8" xr3:uid="{00000000-0010-0000-0000-000008000000}" name="Стоимость_x000a_проданных" dataDxfId="4">
      <calculatedColumnFormula>E4*G4</calculatedColumnFormula>
    </tableColumn>
    <tableColumn id="9" xr3:uid="{00000000-0010-0000-0000-000009000000}" name="Примечания" dataDxfId="3" totalsRowDxfId="2" dataCellStyle="Финансовый"/>
    <tableColumn id="10" xr3:uid="{00000000-0010-0000-0000-00000A000000}" name="Дата проверки" totalsRowFunction="coun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L18"/>
  <sheetViews>
    <sheetView showGridLines="0" tabSelected="1" zoomScaleNormal="100" workbookViewId="0">
      <selection activeCell="C17" sqref="C17"/>
    </sheetView>
  </sheetViews>
  <sheetFormatPr defaultColWidth="9.109375" defaultRowHeight="13.8" x14ac:dyDescent="0.25"/>
  <cols>
    <col min="1" max="1" width="9.109375" style="7"/>
    <col min="2" max="2" width="24.21875" style="7" bestFit="1" customWidth="1"/>
    <col min="3" max="3" width="18.21875" style="7" bestFit="1" customWidth="1"/>
    <col min="4" max="4" width="17.77734375" style="7" bestFit="1" customWidth="1"/>
    <col min="5" max="5" width="13.33203125" style="7" bestFit="1" customWidth="1"/>
    <col min="6" max="6" width="19.33203125" style="7" bestFit="1" customWidth="1"/>
    <col min="7" max="7" width="17.21875" style="7" bestFit="1" customWidth="1"/>
    <col min="8" max="8" width="17.77734375" style="7" bestFit="1" customWidth="1"/>
    <col min="9" max="9" width="15.5546875" style="7" bestFit="1" customWidth="1"/>
    <col min="10" max="10" width="16.88671875" style="7" bestFit="1" customWidth="1"/>
    <col min="11" max="11" width="19.109375" style="7" bestFit="1" customWidth="1"/>
    <col min="12" max="16384" width="9.109375" style="7"/>
  </cols>
  <sheetData>
    <row r="2" spans="2:12" ht="15.6" x14ac:dyDescent="0.3">
      <c r="B2" s="33" t="s">
        <v>32</v>
      </c>
      <c r="C2" s="34"/>
      <c r="D2" s="34"/>
      <c r="E2" s="34"/>
      <c r="F2" s="34"/>
      <c r="G2" s="34"/>
      <c r="H2" s="34"/>
      <c r="I2" s="34"/>
      <c r="J2" s="34"/>
      <c r="K2" s="34"/>
    </row>
    <row r="3" spans="2:12" s="6" customFormat="1" ht="27.6" x14ac:dyDescent="0.3">
      <c r="B3" s="2" t="s">
        <v>0</v>
      </c>
      <c r="C3" s="4" t="s">
        <v>29</v>
      </c>
      <c r="D3" s="4" t="s">
        <v>28</v>
      </c>
      <c r="E3" s="4" t="s">
        <v>27</v>
      </c>
      <c r="F3" s="3" t="s">
        <v>1</v>
      </c>
      <c r="G3" s="3" t="s">
        <v>2</v>
      </c>
      <c r="H3" s="4" t="s">
        <v>30</v>
      </c>
      <c r="I3" s="4" t="s">
        <v>31</v>
      </c>
      <c r="J3" s="3" t="s">
        <v>3</v>
      </c>
      <c r="K3" s="5" t="s">
        <v>4</v>
      </c>
    </row>
    <row r="4" spans="2:12" x14ac:dyDescent="0.25">
      <c r="B4" s="10" t="s">
        <v>5</v>
      </c>
      <c r="C4" s="11" t="s">
        <v>21</v>
      </c>
      <c r="D4" s="12" t="s">
        <v>15</v>
      </c>
      <c r="E4" s="13">
        <v>7999</v>
      </c>
      <c r="F4" s="12">
        <v>373</v>
      </c>
      <c r="G4" s="12">
        <v>123</v>
      </c>
      <c r="H4" s="13">
        <f t="shared" ref="H4:H15" si="0">E4*F4</f>
        <v>2983627</v>
      </c>
      <c r="I4" s="13">
        <f t="shared" ref="I4:I15" si="1">E4*G4</f>
        <v>983877</v>
      </c>
      <c r="J4" s="17" t="s">
        <v>24</v>
      </c>
      <c r="K4" s="14">
        <v>44552</v>
      </c>
      <c r="L4" s="6"/>
    </row>
    <row r="5" spans="2:12" x14ac:dyDescent="0.25">
      <c r="B5" s="10" t="s">
        <v>6</v>
      </c>
      <c r="C5" s="12" t="s">
        <v>21</v>
      </c>
      <c r="D5" s="12" t="s">
        <v>15</v>
      </c>
      <c r="E5" s="13">
        <v>10999</v>
      </c>
      <c r="F5" s="12">
        <v>266</v>
      </c>
      <c r="G5" s="12">
        <v>238</v>
      </c>
      <c r="H5" s="13">
        <f t="shared" si="0"/>
        <v>2925734</v>
      </c>
      <c r="I5" s="13">
        <f t="shared" si="1"/>
        <v>2617762</v>
      </c>
      <c r="J5" s="1" t="s">
        <v>24</v>
      </c>
      <c r="K5" s="14">
        <v>44228</v>
      </c>
      <c r="L5" s="6"/>
    </row>
    <row r="6" spans="2:12" x14ac:dyDescent="0.25">
      <c r="B6" s="10" t="s">
        <v>7</v>
      </c>
      <c r="C6" s="12" t="s">
        <v>23</v>
      </c>
      <c r="D6" s="12" t="s">
        <v>15</v>
      </c>
      <c r="E6" s="13">
        <v>100999</v>
      </c>
      <c r="F6" s="12">
        <v>454</v>
      </c>
      <c r="G6" s="12">
        <v>326</v>
      </c>
      <c r="H6" s="13">
        <f t="shared" si="0"/>
        <v>45853546</v>
      </c>
      <c r="I6" s="13">
        <f t="shared" si="1"/>
        <v>32925674</v>
      </c>
      <c r="J6" s="1" t="s">
        <v>24</v>
      </c>
      <c r="K6" s="14">
        <v>44242</v>
      </c>
      <c r="L6" s="6"/>
    </row>
    <row r="7" spans="2:12" x14ac:dyDescent="0.25">
      <c r="B7" s="10" t="s">
        <v>8</v>
      </c>
      <c r="C7" s="12" t="s">
        <v>23</v>
      </c>
      <c r="D7" s="12" t="s">
        <v>16</v>
      </c>
      <c r="E7" s="13">
        <v>201999</v>
      </c>
      <c r="F7" s="12">
        <v>398</v>
      </c>
      <c r="G7" s="12">
        <v>191</v>
      </c>
      <c r="H7" s="13">
        <f t="shared" si="0"/>
        <v>80395602</v>
      </c>
      <c r="I7" s="13">
        <f t="shared" si="1"/>
        <v>38581809</v>
      </c>
      <c r="J7" s="17" t="s">
        <v>24</v>
      </c>
      <c r="K7" s="14">
        <v>44545</v>
      </c>
      <c r="L7" s="6"/>
    </row>
    <row r="8" spans="2:12" x14ac:dyDescent="0.25">
      <c r="B8" s="10" t="s">
        <v>9</v>
      </c>
      <c r="C8" s="15" t="s">
        <v>21</v>
      </c>
      <c r="D8" s="15" t="s">
        <v>16</v>
      </c>
      <c r="E8" s="13">
        <v>19999</v>
      </c>
      <c r="F8" s="12">
        <v>275</v>
      </c>
      <c r="G8" s="12">
        <v>227</v>
      </c>
      <c r="H8" s="13">
        <f t="shared" si="0"/>
        <v>5499725</v>
      </c>
      <c r="I8" s="13">
        <f t="shared" si="1"/>
        <v>4539773</v>
      </c>
      <c r="J8" s="1" t="s">
        <v>24</v>
      </c>
      <c r="K8" s="14">
        <v>44255</v>
      </c>
      <c r="L8" s="6"/>
    </row>
    <row r="9" spans="2:12" x14ac:dyDescent="0.25">
      <c r="B9" s="10" t="s">
        <v>10</v>
      </c>
      <c r="C9" s="12" t="s">
        <v>21</v>
      </c>
      <c r="D9" s="12" t="s">
        <v>20</v>
      </c>
      <c r="E9" s="13">
        <v>30999</v>
      </c>
      <c r="F9" s="12">
        <v>315</v>
      </c>
      <c r="G9" s="12">
        <v>110</v>
      </c>
      <c r="H9" s="13">
        <f t="shared" si="0"/>
        <v>9764685</v>
      </c>
      <c r="I9" s="13">
        <f t="shared" si="1"/>
        <v>3409890</v>
      </c>
      <c r="J9" s="17" t="s">
        <v>24</v>
      </c>
      <c r="K9" s="14">
        <v>44439</v>
      </c>
      <c r="L9" s="6"/>
    </row>
    <row r="10" spans="2:12" x14ac:dyDescent="0.25">
      <c r="B10" s="10" t="s">
        <v>11</v>
      </c>
      <c r="C10" s="12" t="s">
        <v>23</v>
      </c>
      <c r="D10" s="12" t="s">
        <v>20</v>
      </c>
      <c r="E10" s="13">
        <v>220999</v>
      </c>
      <c r="F10" s="12">
        <v>355</v>
      </c>
      <c r="G10" s="12">
        <v>355</v>
      </c>
      <c r="H10" s="13">
        <f t="shared" si="0"/>
        <v>78454645</v>
      </c>
      <c r="I10" s="13">
        <f t="shared" si="1"/>
        <v>78454645</v>
      </c>
      <c r="J10" s="1" t="s">
        <v>24</v>
      </c>
      <c r="K10" s="14">
        <v>44387</v>
      </c>
      <c r="L10" s="6"/>
    </row>
    <row r="11" spans="2:12" x14ac:dyDescent="0.25">
      <c r="B11" s="10" t="s">
        <v>12</v>
      </c>
      <c r="C11" s="15" t="s">
        <v>23</v>
      </c>
      <c r="D11" s="12" t="s">
        <v>20</v>
      </c>
      <c r="E11" s="13">
        <v>129344</v>
      </c>
      <c r="F11" s="12">
        <v>427</v>
      </c>
      <c r="G11" s="12">
        <v>426</v>
      </c>
      <c r="H11" s="13">
        <f t="shared" si="0"/>
        <v>55229888</v>
      </c>
      <c r="I11" s="13">
        <f t="shared" si="1"/>
        <v>55100544</v>
      </c>
      <c r="J11" s="1" t="s">
        <v>24</v>
      </c>
      <c r="K11" s="14">
        <v>44540</v>
      </c>
      <c r="L11" s="6"/>
    </row>
    <row r="12" spans="2:12" x14ac:dyDescent="0.25">
      <c r="B12" s="23" t="s">
        <v>13</v>
      </c>
      <c r="C12" s="24" t="s">
        <v>22</v>
      </c>
      <c r="D12" s="24" t="s">
        <v>18</v>
      </c>
      <c r="E12" s="25">
        <v>45999</v>
      </c>
      <c r="F12" s="24">
        <v>303</v>
      </c>
      <c r="G12" s="24">
        <v>123</v>
      </c>
      <c r="H12" s="25">
        <f t="shared" si="0"/>
        <v>13937697</v>
      </c>
      <c r="I12" s="25">
        <f t="shared" si="1"/>
        <v>5657877</v>
      </c>
      <c r="J12" s="26" t="s">
        <v>24</v>
      </c>
      <c r="K12" s="27">
        <v>44523</v>
      </c>
      <c r="L12" s="6"/>
    </row>
    <row r="13" spans="2:12" x14ac:dyDescent="0.25">
      <c r="B13" s="16" t="s">
        <v>19</v>
      </c>
      <c r="C13" s="12" t="s">
        <v>23</v>
      </c>
      <c r="D13" s="15" t="s">
        <v>20</v>
      </c>
      <c r="E13" s="13">
        <v>100343</v>
      </c>
      <c r="F13" s="12">
        <v>298</v>
      </c>
      <c r="G13" s="12">
        <v>175</v>
      </c>
      <c r="H13" s="13">
        <f t="shared" si="0"/>
        <v>29902214</v>
      </c>
      <c r="I13" s="13">
        <f t="shared" si="1"/>
        <v>17560025</v>
      </c>
      <c r="J13" s="1" t="s">
        <v>24</v>
      </c>
      <c r="K13" s="14">
        <v>44355</v>
      </c>
      <c r="L13" s="6"/>
    </row>
    <row r="14" spans="2:12" x14ac:dyDescent="0.25">
      <c r="B14" s="10" t="s">
        <v>14</v>
      </c>
      <c r="C14" s="12" t="s">
        <v>21</v>
      </c>
      <c r="D14" s="12" t="s">
        <v>15</v>
      </c>
      <c r="E14" s="13">
        <v>47999</v>
      </c>
      <c r="F14" s="12">
        <v>214</v>
      </c>
      <c r="G14" s="12">
        <v>115</v>
      </c>
      <c r="H14" s="13">
        <f t="shared" si="0"/>
        <v>10271786</v>
      </c>
      <c r="I14" s="13">
        <f t="shared" si="1"/>
        <v>5519885</v>
      </c>
      <c r="J14" s="1" t="s">
        <v>24</v>
      </c>
      <c r="K14" s="14">
        <v>44250</v>
      </c>
      <c r="L14" s="6"/>
    </row>
    <row r="15" spans="2:12" x14ac:dyDescent="0.25">
      <c r="B15" s="32" t="s">
        <v>17</v>
      </c>
      <c r="C15" s="28" t="s">
        <v>22</v>
      </c>
      <c r="D15" s="28" t="s">
        <v>18</v>
      </c>
      <c r="E15" s="29">
        <v>38999</v>
      </c>
      <c r="F15" s="28">
        <v>100</v>
      </c>
      <c r="G15" s="28">
        <v>94</v>
      </c>
      <c r="H15" s="29">
        <f t="shared" si="0"/>
        <v>3899900</v>
      </c>
      <c r="I15" s="29">
        <f t="shared" si="1"/>
        <v>3665906</v>
      </c>
      <c r="J15" s="30" t="s">
        <v>24</v>
      </c>
      <c r="K15" s="31">
        <v>44385</v>
      </c>
      <c r="L15" s="6"/>
    </row>
    <row r="16" spans="2:12" x14ac:dyDescent="0.25">
      <c r="E16" s="8"/>
      <c r="L16" s="6"/>
    </row>
    <row r="17" spans="2:5" ht="27.6" x14ac:dyDescent="0.25">
      <c r="B17" s="19" t="s">
        <v>25</v>
      </c>
      <c r="C17" s="20">
        <f>AVERAGEIF(Таблица1[Страна
изготовитель],"Япония",Таблица1[Цена
единицы])</f>
        <v>42499</v>
      </c>
      <c r="D17" s="18"/>
    </row>
    <row r="18" spans="2:5" ht="27.6" x14ac:dyDescent="0.25">
      <c r="B18" s="21" t="s">
        <v>26</v>
      </c>
      <c r="C18" s="22">
        <f>МИНЗНАЧЕСЛИ(Таблица1[Цена
единицы],Таблица1[Страна
изготовитель],"США")</f>
        <v>30999</v>
      </c>
      <c r="D18" s="9"/>
      <c r="E18" s="9"/>
    </row>
  </sheetData>
  <sortState xmlns:xlrd2="http://schemas.microsoft.com/office/spreadsheetml/2017/richdata2" ref="B3:K14">
    <sortCondition ref="D3:D14"/>
  </sortState>
  <mergeCells count="1">
    <mergeCell ref="B2:K2"/>
  </mergeCells>
  <phoneticPr fontId="7" type="noConversion"/>
  <pageMargins left="0.7" right="0.7" top="0.75" bottom="0.75" header="0.3" footer="0.3"/>
  <pageSetup paperSize="9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FE0F10-BDEC-4C41-BB7C-A2914A328E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Магазины вычислительной техники</vt:lpstr>
      <vt:lpstr>'Магазины вычислительной техники'!Критерии</vt:lpstr>
    </vt:vector>
  </TitlesOfParts>
  <Company>БГУ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Лень Алексей Юрьевич</dc:creator>
  <cp:lastModifiedBy>Алексей</cp:lastModifiedBy>
  <cp:lastPrinted>2022-03-09T09:56:38Z</cp:lastPrinted>
  <dcterms:created xsi:type="dcterms:W3CDTF">2022-02-28T04:18:23Z</dcterms:created>
  <dcterms:modified xsi:type="dcterms:W3CDTF">2022-03-13T12:16:54Z</dcterms:modified>
</cp:coreProperties>
</file>