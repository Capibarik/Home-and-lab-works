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J:\Documents\ЭВМ\СРС\Excel\"/>
    </mc:Choice>
  </mc:AlternateContent>
  <bookViews>
    <workbookView xWindow="0" yWindow="0" windowWidth="28800" windowHeight="12330" tabRatio="564" activeTab="5"/>
  </bookViews>
  <sheets>
    <sheet name="Зад. 1" sheetId="1" r:id="rId1"/>
    <sheet name="Зад. 2" sheetId="9" r:id="rId2"/>
    <sheet name="Зад. 3А" sheetId="10" r:id="rId3"/>
    <sheet name="Зад. 3Б" sheetId="11" r:id="rId4"/>
    <sheet name="Зад. 3В" sheetId="12" r:id="rId5"/>
    <sheet name="Зад. 4" sheetId="13" r:id="rId6"/>
  </sheets>
  <functionGroups builtInGroupCount="18"/>
  <definedNames>
    <definedName name="_xlnm._FilterDatabase" localSheetId="0" hidden="1">'Зад. 1'!$C$2:$C$14</definedName>
    <definedName name="_xlnm._FilterDatabase" localSheetId="1" hidden="1">'Зад. 2'!$C$3:$C$14</definedName>
    <definedName name="_xlnm._FilterDatabase" localSheetId="2" hidden="1">'Зад. 3А'!$A$2:$J$14</definedName>
    <definedName name="_xlnm._FilterDatabase" localSheetId="3" hidden="1">'Зад. 3Б'!$A$2:$J$14</definedName>
    <definedName name="_xlnm._FilterDatabase" localSheetId="4" hidden="1">'Зад. 3В'!$A$2:$J$14</definedName>
    <definedName name="_xlnm._FilterDatabase" localSheetId="5" hidden="1">'Зад. 4'!$C$2:$C$14</definedName>
    <definedName name="_xlnm.Extract" localSheetId="2">'Зад. 3А'!$A$21:$J$33</definedName>
    <definedName name="_xlnm.Extract" localSheetId="3">'Зад. 3Б'!$A$19:$J$26</definedName>
    <definedName name="_xlnm.Extract" localSheetId="4">'Зад. 3В'!$A$20:$J$30</definedName>
    <definedName name="_xlnm.Criteria" localSheetId="0">'Зад. 1'!$D$3:$D$14</definedName>
    <definedName name="_xlnm.Criteria" localSheetId="1">'Зад. 2'!$D$3:$D$14</definedName>
    <definedName name="_xlnm.Criteria" localSheetId="2">'Зад. 3А'!$A$16:$J$19</definedName>
    <definedName name="_xlnm.Criteria" localSheetId="3">'Зад. 3Б'!$A$16:$J$17</definedName>
    <definedName name="_xlnm.Criteria" localSheetId="4">'Зад. 3В'!$A$16:$J$18</definedName>
    <definedName name="_xlnm.Criteria" localSheetId="5">'Зад. 4'!$D$3:$D$14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19" i="10" l="1"/>
  <c r="J18" i="10"/>
  <c r="J17" i="10"/>
  <c r="B16" i="13"/>
  <c r="A17" i="12"/>
  <c r="B17" i="13"/>
  <c r="G14" i="12" l="1"/>
  <c r="H14" i="12"/>
  <c r="H13" i="9" l="1"/>
  <c r="H14" i="13"/>
  <c r="G14" i="13"/>
  <c r="H13" i="13"/>
  <c r="G13" i="13"/>
  <c r="H12" i="13"/>
  <c r="G12" i="13"/>
  <c r="H11" i="13"/>
  <c r="G11" i="13"/>
  <c r="H10" i="13"/>
  <c r="G10" i="13"/>
  <c r="H9" i="13"/>
  <c r="G9" i="13"/>
  <c r="H8" i="13"/>
  <c r="G8" i="13"/>
  <c r="H7" i="13"/>
  <c r="G7" i="13"/>
  <c r="H6" i="13"/>
  <c r="G6" i="13"/>
  <c r="H5" i="13"/>
  <c r="G5" i="13"/>
  <c r="H4" i="13"/>
  <c r="G4" i="13"/>
  <c r="H3" i="13"/>
  <c r="G3" i="13"/>
  <c r="H13" i="12"/>
  <c r="G13" i="12"/>
  <c r="H12" i="12"/>
  <c r="G12" i="12"/>
  <c r="H11" i="12"/>
  <c r="G11" i="12"/>
  <c r="H10" i="12"/>
  <c r="G10" i="12"/>
  <c r="H9" i="12"/>
  <c r="G9" i="12"/>
  <c r="H8" i="12"/>
  <c r="G8" i="12"/>
  <c r="H7" i="12"/>
  <c r="G7" i="12"/>
  <c r="H6" i="12"/>
  <c r="G6" i="12"/>
  <c r="H5" i="12"/>
  <c r="G5" i="12"/>
  <c r="H4" i="12"/>
  <c r="G4" i="12"/>
  <c r="H3" i="12"/>
  <c r="G3" i="12"/>
  <c r="H14" i="11"/>
  <c r="G14" i="11"/>
  <c r="H13" i="11"/>
  <c r="G13" i="11"/>
  <c r="H12" i="11"/>
  <c r="G12" i="11"/>
  <c r="H11" i="11"/>
  <c r="G11" i="11"/>
  <c r="H10" i="11"/>
  <c r="G10" i="11"/>
  <c r="H9" i="11"/>
  <c r="G9" i="11"/>
  <c r="H8" i="11"/>
  <c r="G8" i="11"/>
  <c r="H7" i="11"/>
  <c r="G7" i="11"/>
  <c r="H6" i="11"/>
  <c r="G6" i="11"/>
  <c r="H5" i="11"/>
  <c r="G5" i="11"/>
  <c r="H4" i="11"/>
  <c r="G4" i="11"/>
  <c r="H3" i="11"/>
  <c r="G3" i="11"/>
  <c r="H14" i="10"/>
  <c r="G14" i="10"/>
  <c r="H13" i="10"/>
  <c r="G13" i="10"/>
  <c r="H12" i="10"/>
  <c r="G12" i="10"/>
  <c r="H11" i="10"/>
  <c r="G11" i="10"/>
  <c r="H10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14" i="9"/>
  <c r="G14" i="9"/>
  <c r="H5" i="9"/>
  <c r="G5" i="9"/>
  <c r="H12" i="9"/>
  <c r="G12" i="9"/>
  <c r="G13" i="9"/>
  <c r="H11" i="9"/>
  <c r="G11" i="9"/>
  <c r="H10" i="9"/>
  <c r="G10" i="9"/>
  <c r="H9" i="9"/>
  <c r="G9" i="9"/>
  <c r="H7" i="9"/>
  <c r="G7" i="9"/>
  <c r="H8" i="9"/>
  <c r="G8" i="9"/>
  <c r="H6" i="9"/>
  <c r="G6" i="9"/>
  <c r="H4" i="9"/>
  <c r="G4" i="9"/>
  <c r="H3" i="9"/>
  <c r="G3" i="9"/>
  <c r="H3" i="1"/>
  <c r="H4" i="1"/>
  <c r="H5" i="1"/>
  <c r="H6" i="1"/>
  <c r="H7" i="1"/>
  <c r="H8" i="1"/>
  <c r="H9" i="1"/>
  <c r="H10" i="1"/>
  <c r="H11" i="1"/>
  <c r="H12" i="1"/>
  <c r="H13" i="1"/>
  <c r="H14" i="1"/>
  <c r="G3" i="1"/>
  <c r="G4" i="1"/>
  <c r="G5" i="1"/>
  <c r="G6" i="1"/>
  <c r="G7" i="1"/>
  <c r="G8" i="1"/>
  <c r="G9" i="1"/>
  <c r="G10" i="1"/>
  <c r="G11" i="1"/>
  <c r="G12" i="1"/>
  <c r="G13" i="1"/>
  <c r="G14" i="1"/>
</calcChain>
</file>

<file path=xl/sharedStrings.xml><?xml version="1.0" encoding="utf-8"?>
<sst xmlns="http://schemas.openxmlformats.org/spreadsheetml/2006/main" count="486" uniqueCount="48">
  <si>
    <t>Примечания</t>
  </si>
  <si>
    <t>Дата проверки</t>
  </si>
  <si>
    <t>Apple for People</t>
  </si>
  <si>
    <t>Apple Imperia</t>
  </si>
  <si>
    <t>Apple Shop</t>
  </si>
  <si>
    <t>APPLE WILD</t>
  </si>
  <si>
    <t>AVT – Техника</t>
  </si>
  <si>
    <t>CaseBar</t>
  </si>
  <si>
    <t>Digital Reseller</t>
  </si>
  <si>
    <t>NextStore</t>
  </si>
  <si>
    <t>Китай</t>
  </si>
  <si>
    <t>Россия</t>
  </si>
  <si>
    <t>RaRaGaming</t>
  </si>
  <si>
    <t>Япония</t>
  </si>
  <si>
    <t>Intel Media</t>
  </si>
  <si>
    <t>США</t>
  </si>
  <si>
    <t>Бытовой</t>
  </si>
  <si>
    <t>Учебный</t>
  </si>
  <si>
    <t>Профессиональный</t>
  </si>
  <si>
    <t>-</t>
  </si>
  <si>
    <t>Страна
изготовитель</t>
  </si>
  <si>
    <t>Тип
ПЭВМ</t>
  </si>
  <si>
    <t>Магазины вычислительной техники</t>
  </si>
  <si>
    <t>Название
магазинов</t>
  </si>
  <si>
    <t>Цена единицы,
руб</t>
  </si>
  <si>
    <t>Стоимость
поступивших,
руб</t>
  </si>
  <si>
    <t>Стоимость
проданных, руб</t>
  </si>
  <si>
    <t xml:space="preserve">   </t>
  </si>
  <si>
    <t>IBM Products</t>
  </si>
  <si>
    <t>IBM Russia</t>
  </si>
  <si>
    <t>Продано, шт.</t>
  </si>
  <si>
    <t>Поступило,
шт.</t>
  </si>
  <si>
    <t>Ср. цена япон. ПЭВМ</t>
  </si>
  <si>
    <t>Мин. цена амер. ПЭВМ</t>
  </si>
  <si>
    <t>IBM USA</t>
  </si>
  <si>
    <t>&gt;=120</t>
  </si>
  <si>
    <t>31.12.21</t>
  </si>
  <si>
    <t>21.06.21</t>
  </si>
  <si>
    <t>16.07.21</t>
  </si>
  <si>
    <t>24.01.21</t>
  </si>
  <si>
    <t>11.02.21</t>
  </si>
  <si>
    <t>28.02.21</t>
  </si>
  <si>
    <t>23.03.21</t>
  </si>
  <si>
    <t>23.09.21</t>
  </si>
  <si>
    <t>30.11.21</t>
  </si>
  <si>
    <t>31.09.21</t>
  </si>
  <si>
    <t>07.01.21</t>
  </si>
  <si>
    <t>03.05.21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</si>
</sst>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4" formatCode="_-* #,##0.00\ &quot;₽&quot;_-;\-* #,##0.00\ &quot;₽&quot;_-;_-* &quot;-&quot;??\ &quot;₽&quot;_-;_-@_-"/>
    <numFmt numFmtId="43" formatCode="_-* #,##0.00\ _₽_-;\-* #,##0.00\ _₽_-;_-* &quot;-&quot;??\ _₽_-;_-@_-"/>
    <numFmt numFmtId="164" formatCode="#,##0.00\ &quot;₽&quot;"/>
  </numFmts>
  <fonts count="9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Times New Roman"/>
      <family val="1"/>
      <charset val="204"/>
    </font>
    <font>
      <sz val="8"/>
      <name val="Calibri"/>
      <family val="2"/>
      <charset val="204"/>
      <scheme val="minor"/>
    </font>
    <font>
      <sz val="14"/>
      <color theme="1"/>
      <name val="Arial Cyr"/>
      <charset val="204"/>
    </font>
    <font>
      <b/>
      <sz val="11"/>
      <color theme="1"/>
      <name val="Arial Cyr"/>
      <charset val="204"/>
    </font>
    <font>
      <sz val="11"/>
      <name val="Arial Cyr"/>
      <charset val="204"/>
    </font>
    <font>
      <sz val="11"/>
      <color theme="1"/>
      <name val="Arial Cyr"/>
      <charset val="204"/>
    </font>
    <font>
      <sz val="11"/>
      <color theme="1"/>
      <name val="Arial Cry"/>
      <charset val="204"/>
    </font>
  </fonts>
  <fills count="2">
    <fill>
      <patternFill patternType="none"/>
    </fill>
    <fill>
      <patternFill patternType="gray125"/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64">
    <xf numFmtId="0" fontId="0" fillId="0" borderId="0" xfId="0"/>
    <xf numFmtId="0" fontId="2" fillId="0" borderId="0" xfId="0" applyFont="1" applyAlignment="1">
      <alignment vertical="center"/>
    </xf>
    <xf numFmtId="0" fontId="2" fillId="0" borderId="0" xfId="0" applyFont="1"/>
    <xf numFmtId="164" fontId="2" fillId="0" borderId="0" xfId="0" applyNumberFormat="1" applyFont="1"/>
    <xf numFmtId="44" fontId="2" fillId="0" borderId="0" xfId="2" applyFont="1"/>
    <xf numFmtId="0" fontId="2" fillId="0" borderId="0" xfId="2" applyNumberFormat="1" applyFont="1"/>
    <xf numFmtId="0" fontId="0" fillId="0" borderId="0" xfId="0" applyAlignment="1">
      <alignment vertical="top" wrapText="1"/>
    </xf>
    <xf numFmtId="44" fontId="0" fillId="0" borderId="0" xfId="2" applyFont="1" applyAlignment="1">
      <alignment horizontal="center" vertical="center"/>
    </xf>
    <xf numFmtId="0" fontId="5" fillId="0" borderId="4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 wrapText="1"/>
    </xf>
    <xf numFmtId="10" fontId="7" fillId="0" borderId="1" xfId="0" applyNumberFormat="1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43" fontId="7" fillId="0" borderId="1" xfId="1" applyFont="1" applyBorder="1" applyAlignment="1">
      <alignment horizontal="center" vertical="center"/>
    </xf>
    <xf numFmtId="0" fontId="7" fillId="0" borderId="1" xfId="1" applyNumberFormat="1" applyFont="1" applyBorder="1" applyAlignment="1">
      <alignment horizontal="center" vertical="center"/>
    </xf>
    <xf numFmtId="0" fontId="7" fillId="0" borderId="1" xfId="1" applyNumberFormat="1" applyFont="1" applyBorder="1" applyAlignment="1">
      <alignment horizontal="center" vertical="center" wrapText="1"/>
    </xf>
    <xf numFmtId="14" fontId="7" fillId="0" borderId="3" xfId="0" applyNumberFormat="1" applyFont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/>
    </xf>
    <xf numFmtId="0" fontId="6" fillId="0" borderId="2" xfId="0" applyFont="1" applyFill="1" applyBorder="1" applyAlignment="1">
      <alignment horizontal="center" vertical="center" wrapText="1"/>
    </xf>
    <xf numFmtId="0" fontId="6" fillId="0" borderId="7" xfId="0" applyFont="1" applyFill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/>
    </xf>
    <xf numFmtId="43" fontId="7" fillId="0" borderId="8" xfId="1" applyFont="1" applyBorder="1" applyAlignment="1">
      <alignment horizontal="center" vertical="center"/>
    </xf>
    <xf numFmtId="0" fontId="7" fillId="0" borderId="8" xfId="1" applyNumberFormat="1" applyFont="1" applyBorder="1" applyAlignment="1">
      <alignment horizontal="center" vertical="center"/>
    </xf>
    <xf numFmtId="14" fontId="7" fillId="0" borderId="9" xfId="0" applyNumberFormat="1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 wrapText="1"/>
    </xf>
    <xf numFmtId="0" fontId="6" fillId="0" borderId="13" xfId="0" applyFont="1" applyFill="1" applyBorder="1" applyAlignment="1">
      <alignment horizontal="center" vertical="center" wrapText="1"/>
    </xf>
    <xf numFmtId="14" fontId="7" fillId="0" borderId="14" xfId="0" applyNumberFormat="1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 wrapText="1"/>
    </xf>
    <xf numFmtId="0" fontId="5" fillId="0" borderId="11" xfId="0" applyFont="1" applyBorder="1" applyAlignment="1">
      <alignment horizontal="center" vertical="center" wrapText="1"/>
    </xf>
    <xf numFmtId="0" fontId="5" fillId="0" borderId="11" xfId="0" applyFont="1" applyBorder="1" applyAlignment="1">
      <alignment horizontal="center" vertical="center"/>
    </xf>
    <xf numFmtId="0" fontId="5" fillId="0" borderId="12" xfId="0" applyFont="1" applyBorder="1" applyAlignment="1">
      <alignment horizontal="center" vertical="center"/>
    </xf>
    <xf numFmtId="0" fontId="6" fillId="0" borderId="15" xfId="0" applyFont="1" applyFill="1" applyBorder="1" applyAlignment="1">
      <alignment horizontal="center" vertical="center" wrapText="1"/>
    </xf>
    <xf numFmtId="0" fontId="7" fillId="0" borderId="16" xfId="0" applyFont="1" applyBorder="1" applyAlignment="1">
      <alignment horizontal="center" vertical="center"/>
    </xf>
    <xf numFmtId="43" fontId="7" fillId="0" borderId="16" xfId="1" applyFont="1" applyBorder="1" applyAlignment="1">
      <alignment horizontal="center" vertical="center"/>
    </xf>
    <xf numFmtId="0" fontId="7" fillId="0" borderId="16" xfId="1" applyNumberFormat="1" applyFont="1" applyBorder="1" applyAlignment="1">
      <alignment horizontal="center" vertical="center"/>
    </xf>
    <xf numFmtId="14" fontId="7" fillId="0" borderId="17" xfId="0" applyNumberFormat="1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 wrapText="1"/>
    </xf>
    <xf numFmtId="0" fontId="6" fillId="0" borderId="1" xfId="0" applyFont="1" applyFill="1" applyBorder="1" applyAlignment="1">
      <alignment horizontal="center" vertical="center" wrapText="1"/>
    </xf>
    <xf numFmtId="14" fontId="7" fillId="0" borderId="1" xfId="0" applyNumberFormat="1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 wrapText="1"/>
    </xf>
    <xf numFmtId="10" fontId="7" fillId="0" borderId="0" xfId="0" applyNumberFormat="1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43" fontId="7" fillId="0" borderId="0" xfId="1" applyFont="1" applyBorder="1" applyAlignment="1">
      <alignment horizontal="center" vertical="center"/>
    </xf>
    <xf numFmtId="0" fontId="7" fillId="0" borderId="0" xfId="1" applyNumberFormat="1" applyFont="1" applyBorder="1" applyAlignment="1">
      <alignment horizontal="center" vertical="center"/>
    </xf>
    <xf numFmtId="0" fontId="7" fillId="0" borderId="0" xfId="1" applyNumberFormat="1" applyFont="1" applyBorder="1" applyAlignment="1">
      <alignment horizontal="center" vertical="center" wrapText="1"/>
    </xf>
    <xf numFmtId="14" fontId="7" fillId="0" borderId="0" xfId="0" applyNumberFormat="1" applyFont="1" applyBorder="1" applyAlignment="1">
      <alignment horizontal="center" vertical="center"/>
    </xf>
    <xf numFmtId="0" fontId="7" fillId="0" borderId="0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 wrapText="1"/>
    </xf>
    <xf numFmtId="0" fontId="7" fillId="0" borderId="0" xfId="0" applyFont="1"/>
    <xf numFmtId="0" fontId="7" fillId="0" borderId="0" xfId="0" applyFont="1" applyAlignment="1">
      <alignment vertical="center"/>
    </xf>
    <xf numFmtId="0" fontId="4" fillId="0" borderId="0" xfId="0" applyFont="1" applyAlignment="1">
      <alignment horizontal="center"/>
    </xf>
    <xf numFmtId="43" fontId="2" fillId="0" borderId="0" xfId="2" applyNumberFormat="1" applyFont="1"/>
    <xf numFmtId="49" fontId="8" fillId="0" borderId="0" xfId="0" applyNumberFormat="1" applyFont="1" applyAlignment="1">
      <alignment vertical="center"/>
    </xf>
    <xf numFmtId="49" fontId="2" fillId="0" borderId="0" xfId="0" applyNumberFormat="1" applyFont="1"/>
    <xf numFmtId="49" fontId="8" fillId="0" borderId="1" xfId="0" applyNumberFormat="1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 wrapText="1"/>
    </xf>
    <xf numFmtId="0" fontId="5" fillId="0" borderId="19" xfId="0" applyFont="1" applyBorder="1" applyAlignment="1">
      <alignment horizontal="center" vertical="center" wrapText="1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49" fontId="8" fillId="0" borderId="0" xfId="0" applyNumberFormat="1" applyFont="1" applyBorder="1" applyAlignment="1">
      <alignment horizontal="center" vertical="center"/>
    </xf>
  </cellXfs>
  <cellStyles count="3">
    <cellStyle name="Денежный" xfId="2" builtinId="4"/>
    <cellStyle name="Обычный" xfId="0" builtinId="0"/>
    <cellStyle name="Финансовый" xfId="1" builtinId="3"/>
  </cellStyles>
  <dxfs count="2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Cyr"/>
        <scheme val="none"/>
      </font>
      <numFmt numFmtId="19" formatCode="dd/mm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Cyr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Cyr"/>
        <scheme val="none"/>
      </font>
      <numFmt numFmtId="35" formatCode="_-* #,##0.00\ _₽_-;\-* #,##0.00\ _₽_-;_-* &quot;-&quot;??\ _₽_-;_-@_-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Cyr"/>
        <scheme val="none"/>
      </font>
      <numFmt numFmtId="35" formatCode="_-* #,##0.00\ _₽_-;\-* #,##0.00\ _₽_-;_-* &quot;-&quot;??\ _₽_-;_-@_-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Cyr"/>
        <scheme val="none"/>
      </font>
      <numFmt numFmtId="0" formatCode="General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Cyr"/>
        <scheme val="none"/>
      </font>
      <numFmt numFmtId="0" formatCode="General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Cyr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Cyr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Cyr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Cyr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rgb="FF000000"/>
        </top>
      </border>
    </dxf>
    <dxf>
      <font>
        <strike val="0"/>
        <outline val="0"/>
        <shadow val="0"/>
        <u val="none"/>
        <vertAlign val="baseline"/>
        <name val="Arial Cyr"/>
        <scheme val="none"/>
      </font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1"/>
        <name val="Arial Cyr"/>
        <scheme val="none"/>
      </font>
      <alignment horizontal="center" vertical="center" textRotation="0" indent="0" justifyLastLine="0" shrinkToFit="0" readingOrder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Cyr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9" name="Таблица110" displayName="Таблица110" ref="A2:J14" headerRowDxfId="21" dataDxfId="19" totalsRowDxfId="17" headerRowBorderDxfId="20" tableBorderDxfId="18" totalsRowBorderDxfId="16">
  <sortState ref="A3:J14">
    <sortCondition ref="C3:C14"/>
    <sortCondition ref="B3:B14"/>
  </sortState>
  <tableColumns count="10">
    <tableColumn id="1" name="Название_x000a_магазинов" totalsRowLabel="Итог" dataDxfId="15" totalsRowDxfId="14"/>
    <tableColumn id="2" name="Тип_x000a_ПЭВМ" dataDxfId="13" totalsRowDxfId="12"/>
    <tableColumn id="3" name="Страна_x000a_изготовитель" dataDxfId="11"/>
    <tableColumn id="4" name="Цена единицы,_x000a_руб" dataDxfId="10" dataCellStyle="Финансовый"/>
    <tableColumn id="5" name="Поступило,_x000a_шт." dataDxfId="9" totalsRowDxfId="8" dataCellStyle="Финансовый"/>
    <tableColumn id="6" name="Продано, шт." dataDxfId="7" totalsRowDxfId="6" dataCellStyle="Финансовый"/>
    <tableColumn id="7" name="Стоимость_x000a_поступивших,_x000a_руб" dataDxfId="5" dataCellStyle="Финансовый">
      <calculatedColumnFormula>D3*E3</calculatedColumnFormula>
    </tableColumn>
    <tableColumn id="8" name="Стоимость_x000a_проданных, руб" dataDxfId="4" dataCellStyle="Финансовый">
      <calculatedColumnFormula>Таблица110[[#This Row],[Цена единицы,
руб]] *Таблица110[[#This Row],[Продано, шт.]]</calculatedColumnFormula>
    </tableColumn>
    <tableColumn id="9" name="Примечания" dataDxfId="3" totalsRowDxfId="2" dataCellStyle="Финансовый"/>
    <tableColumn id="10" name="Дата проверки" totalsRowFunction="count" dataDxfId="1" totalsRow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K17"/>
  <sheetViews>
    <sheetView zoomScaleNormal="100" workbookViewId="0">
      <selection activeCell="L7" sqref="L7"/>
    </sheetView>
  </sheetViews>
  <sheetFormatPr defaultColWidth="9.140625" defaultRowHeight="15"/>
  <cols>
    <col min="1" max="1" width="16.28515625" style="2" customWidth="1"/>
    <col min="2" max="2" width="20.7109375" style="2" customWidth="1"/>
    <col min="3" max="3" width="15.140625" style="2" customWidth="1"/>
    <col min="4" max="4" width="14.5703125" style="2" customWidth="1"/>
    <col min="5" max="5" width="12.7109375" style="2" customWidth="1"/>
    <col min="6" max="6" width="10.85546875" style="2" customWidth="1"/>
    <col min="7" max="8" width="17.5703125" style="2" customWidth="1"/>
    <col min="9" max="9" width="14.42578125" style="2" customWidth="1"/>
    <col min="10" max="10" width="16.5703125" style="2" customWidth="1"/>
    <col min="11" max="16384" width="9.140625" style="2"/>
  </cols>
  <sheetData>
    <row r="1" spans="1:11" ht="18">
      <c r="A1" s="54" t="s">
        <v>22</v>
      </c>
      <c r="B1" s="54"/>
      <c r="C1" s="54"/>
      <c r="D1" s="54"/>
      <c r="E1" s="54"/>
      <c r="F1" s="54"/>
      <c r="G1" s="54"/>
      <c r="H1" s="54"/>
      <c r="I1" s="54"/>
      <c r="J1" s="54"/>
    </row>
    <row r="2" spans="1:11" s="1" customFormat="1" ht="49.5" customHeight="1">
      <c r="A2" s="41" t="s">
        <v>23</v>
      </c>
      <c r="B2" s="41" t="s">
        <v>21</v>
      </c>
      <c r="C2" s="41" t="s">
        <v>20</v>
      </c>
      <c r="D2" s="41" t="s">
        <v>24</v>
      </c>
      <c r="E2" s="41" t="s">
        <v>31</v>
      </c>
      <c r="F2" s="41" t="s">
        <v>30</v>
      </c>
      <c r="G2" s="41" t="s">
        <v>25</v>
      </c>
      <c r="H2" s="41" t="s">
        <v>26</v>
      </c>
      <c r="I2" s="42" t="s">
        <v>0</v>
      </c>
      <c r="J2" s="42" t="s">
        <v>1</v>
      </c>
    </row>
    <row r="3" spans="1:11">
      <c r="A3" s="38" t="s">
        <v>2</v>
      </c>
      <c r="B3" s="13" t="s">
        <v>16</v>
      </c>
      <c r="C3" s="14" t="s">
        <v>10</v>
      </c>
      <c r="D3" s="15">
        <v>7999</v>
      </c>
      <c r="E3" s="16">
        <v>373</v>
      </c>
      <c r="F3" s="16">
        <v>123</v>
      </c>
      <c r="G3" s="15">
        <f t="shared" ref="G3:G14" si="0">D3*E3</f>
        <v>2983627</v>
      </c>
      <c r="H3" s="15">
        <f>'Зад. 1'!$D3 *'Зад. 1'!$F3</f>
        <v>983877</v>
      </c>
      <c r="I3" s="17" t="s">
        <v>19</v>
      </c>
      <c r="J3" s="40">
        <v>44552</v>
      </c>
      <c r="K3" s="1"/>
    </row>
    <row r="4" spans="1:11">
      <c r="A4" s="38" t="s">
        <v>3</v>
      </c>
      <c r="B4" s="14" t="s">
        <v>16</v>
      </c>
      <c r="C4" s="14" t="s">
        <v>10</v>
      </c>
      <c r="D4" s="15">
        <v>10999</v>
      </c>
      <c r="E4" s="16">
        <v>266</v>
      </c>
      <c r="F4" s="16">
        <v>238</v>
      </c>
      <c r="G4" s="15">
        <f t="shared" si="0"/>
        <v>2925734</v>
      </c>
      <c r="H4" s="15">
        <f>'Зад. 1'!$D4 *'Зад. 1'!$F4</f>
        <v>2617762</v>
      </c>
      <c r="I4" s="16" t="s">
        <v>19</v>
      </c>
      <c r="J4" s="40">
        <v>44228</v>
      </c>
      <c r="K4" s="1"/>
    </row>
    <row r="5" spans="1:11">
      <c r="A5" s="38" t="s">
        <v>4</v>
      </c>
      <c r="B5" s="14" t="s">
        <v>18</v>
      </c>
      <c r="C5" s="14" t="s">
        <v>10</v>
      </c>
      <c r="D5" s="15">
        <v>100999</v>
      </c>
      <c r="E5" s="16">
        <v>454</v>
      </c>
      <c r="F5" s="16">
        <v>326</v>
      </c>
      <c r="G5" s="15">
        <f t="shared" si="0"/>
        <v>45853546</v>
      </c>
      <c r="H5" s="15">
        <f>'Зад. 1'!$D5 *'Зад. 1'!$F5</f>
        <v>32925674</v>
      </c>
      <c r="I5" s="16" t="s">
        <v>19</v>
      </c>
      <c r="J5" s="40">
        <v>44242</v>
      </c>
      <c r="K5" s="1"/>
    </row>
    <row r="6" spans="1:11">
      <c r="A6" s="38" t="s">
        <v>5</v>
      </c>
      <c r="B6" s="14" t="s">
        <v>18</v>
      </c>
      <c r="C6" s="14" t="s">
        <v>11</v>
      </c>
      <c r="D6" s="15">
        <v>201999</v>
      </c>
      <c r="E6" s="16">
        <v>398</v>
      </c>
      <c r="F6" s="16">
        <v>191</v>
      </c>
      <c r="G6" s="15">
        <f t="shared" si="0"/>
        <v>80395602</v>
      </c>
      <c r="H6" s="15">
        <f>'Зад. 1'!$D6 *'Зад. 1'!$F6</f>
        <v>38581809</v>
      </c>
      <c r="I6" s="17" t="s">
        <v>19</v>
      </c>
      <c r="J6" s="40">
        <v>44545</v>
      </c>
      <c r="K6" s="1"/>
    </row>
    <row r="7" spans="1:11">
      <c r="A7" s="38" t="s">
        <v>6</v>
      </c>
      <c r="B7" s="19" t="s">
        <v>16</v>
      </c>
      <c r="C7" s="19" t="s">
        <v>11</v>
      </c>
      <c r="D7" s="15">
        <v>19999</v>
      </c>
      <c r="E7" s="16">
        <v>275</v>
      </c>
      <c r="F7" s="16">
        <v>227</v>
      </c>
      <c r="G7" s="15">
        <f t="shared" si="0"/>
        <v>5499725</v>
      </c>
      <c r="H7" s="15">
        <f>'Зад. 1'!$D7 *'Зад. 1'!$F7</f>
        <v>4539773</v>
      </c>
      <c r="I7" s="16" t="s">
        <v>19</v>
      </c>
      <c r="J7" s="40">
        <v>44255</v>
      </c>
      <c r="K7" s="1"/>
    </row>
    <row r="8" spans="1:11">
      <c r="A8" s="38" t="s">
        <v>28</v>
      </c>
      <c r="B8" s="14" t="s">
        <v>16</v>
      </c>
      <c r="C8" s="14" t="s">
        <v>15</v>
      </c>
      <c r="D8" s="15">
        <v>30999</v>
      </c>
      <c r="E8" s="16">
        <v>315</v>
      </c>
      <c r="F8" s="16">
        <v>110</v>
      </c>
      <c r="G8" s="15">
        <f t="shared" si="0"/>
        <v>9764685</v>
      </c>
      <c r="H8" s="15">
        <f>'Зад. 1'!$D8 *'Зад. 1'!$F8</f>
        <v>3409890</v>
      </c>
      <c r="I8" s="17" t="s">
        <v>19</v>
      </c>
      <c r="J8" s="40">
        <v>44439</v>
      </c>
      <c r="K8" s="1"/>
    </row>
    <row r="9" spans="1:11">
      <c r="A9" s="38" t="s">
        <v>7</v>
      </c>
      <c r="B9" s="14" t="s">
        <v>18</v>
      </c>
      <c r="C9" s="14" t="s">
        <v>15</v>
      </c>
      <c r="D9" s="15">
        <v>220999</v>
      </c>
      <c r="E9" s="16">
        <v>355</v>
      </c>
      <c r="F9" s="16">
        <v>355</v>
      </c>
      <c r="G9" s="15">
        <f t="shared" si="0"/>
        <v>78454645</v>
      </c>
      <c r="H9" s="15">
        <f>'Зад. 1'!$D9 *'Зад. 1'!$F9</f>
        <v>78454645</v>
      </c>
      <c r="I9" s="16" t="s">
        <v>19</v>
      </c>
      <c r="J9" s="40">
        <v>44387</v>
      </c>
      <c r="K9" s="1"/>
    </row>
    <row r="10" spans="1:11">
      <c r="A10" s="38" t="s">
        <v>29</v>
      </c>
      <c r="B10" s="19" t="s">
        <v>18</v>
      </c>
      <c r="C10" s="14" t="s">
        <v>15</v>
      </c>
      <c r="D10" s="15">
        <v>129344</v>
      </c>
      <c r="E10" s="16">
        <v>427</v>
      </c>
      <c r="F10" s="16">
        <v>426</v>
      </c>
      <c r="G10" s="15">
        <f t="shared" si="0"/>
        <v>55229888</v>
      </c>
      <c r="H10" s="15">
        <f>'Зад. 1'!$D10 *'Зад. 1'!$F10</f>
        <v>55100544</v>
      </c>
      <c r="I10" s="16" t="s">
        <v>19</v>
      </c>
      <c r="J10" s="40">
        <v>44540</v>
      </c>
      <c r="K10" s="1"/>
    </row>
    <row r="11" spans="1:11">
      <c r="A11" s="38" t="s">
        <v>8</v>
      </c>
      <c r="B11" s="14" t="s">
        <v>17</v>
      </c>
      <c r="C11" s="14" t="s">
        <v>13</v>
      </c>
      <c r="D11" s="15">
        <v>45999</v>
      </c>
      <c r="E11" s="16">
        <v>303</v>
      </c>
      <c r="F11" s="16">
        <v>123</v>
      </c>
      <c r="G11" s="15">
        <f t="shared" si="0"/>
        <v>13937697</v>
      </c>
      <c r="H11" s="15">
        <f>'Зад. 1'!$D11 *'Зад. 1'!$F11</f>
        <v>5657877</v>
      </c>
      <c r="I11" s="16" t="s">
        <v>19</v>
      </c>
      <c r="J11" s="40">
        <v>44523</v>
      </c>
      <c r="K11" s="1"/>
    </row>
    <row r="12" spans="1:11">
      <c r="A12" s="39" t="s">
        <v>14</v>
      </c>
      <c r="B12" s="14" t="s">
        <v>18</v>
      </c>
      <c r="C12" s="19" t="s">
        <v>15</v>
      </c>
      <c r="D12" s="15">
        <v>100343</v>
      </c>
      <c r="E12" s="16">
        <v>298</v>
      </c>
      <c r="F12" s="16">
        <v>175</v>
      </c>
      <c r="G12" s="15">
        <f t="shared" si="0"/>
        <v>29902214</v>
      </c>
      <c r="H12" s="15">
        <f>'Зад. 1'!$D12 *'Зад. 1'!$F12</f>
        <v>17560025</v>
      </c>
      <c r="I12" s="16" t="s">
        <v>19</v>
      </c>
      <c r="J12" s="40">
        <v>44355</v>
      </c>
      <c r="K12" s="1"/>
    </row>
    <row r="13" spans="1:11">
      <c r="A13" s="38" t="s">
        <v>9</v>
      </c>
      <c r="B13" s="14" t="s">
        <v>16</v>
      </c>
      <c r="C13" s="14" t="s">
        <v>10</v>
      </c>
      <c r="D13" s="15">
        <v>47999</v>
      </c>
      <c r="E13" s="16">
        <v>214</v>
      </c>
      <c r="F13" s="16">
        <v>115</v>
      </c>
      <c r="G13" s="15">
        <f t="shared" si="0"/>
        <v>10271786</v>
      </c>
      <c r="H13" s="15">
        <f>'Зад. 1'!$D13 *'Зад. 1'!$F13</f>
        <v>5519885</v>
      </c>
      <c r="I13" s="16" t="s">
        <v>19</v>
      </c>
      <c r="J13" s="40">
        <v>44250</v>
      </c>
      <c r="K13" s="1"/>
    </row>
    <row r="14" spans="1:11">
      <c r="A14" s="39" t="s">
        <v>12</v>
      </c>
      <c r="B14" s="14" t="s">
        <v>17</v>
      </c>
      <c r="C14" s="14" t="s">
        <v>13</v>
      </c>
      <c r="D14" s="15">
        <v>38999</v>
      </c>
      <c r="E14" s="16">
        <v>100</v>
      </c>
      <c r="F14" s="16">
        <v>94</v>
      </c>
      <c r="G14" s="15">
        <f t="shared" si="0"/>
        <v>3899900</v>
      </c>
      <c r="H14" s="15">
        <f>'Зад. 1'!$D14 *'Зад. 1'!$F14</f>
        <v>3665906</v>
      </c>
      <c r="I14" s="16" t="s">
        <v>19</v>
      </c>
      <c r="J14" s="40">
        <v>44385</v>
      </c>
      <c r="K14" s="1"/>
    </row>
    <row r="15" spans="1:11">
      <c r="D15" s="3"/>
      <c r="K15" s="1"/>
    </row>
    <row r="16" spans="1:11" ht="15.75" customHeight="1">
      <c r="A16" s="6" t="s">
        <v>27</v>
      </c>
      <c r="B16" s="7"/>
      <c r="C16" s="5"/>
    </row>
    <row r="17" spans="1:4">
      <c r="A17" s="6"/>
      <c r="B17" s="7"/>
      <c r="C17" s="4"/>
      <c r="D17" s="4"/>
    </row>
  </sheetData>
  <autoFilter ref="C2:C14"/>
  <sortState ref="A3:J14">
    <sortCondition ref="C3:C14"/>
  </sortState>
  <dataConsolidate>
    <dataRefs count="1">
      <dataRef ref="D14:E14" sheet="Зад. 1"/>
    </dataRefs>
  </dataConsolidate>
  <mergeCells count="1">
    <mergeCell ref="A1:J1"/>
  </mergeCells>
  <phoneticPr fontId="3" type="noConversion"/>
  <pageMargins left="0.7" right="0.7" top="0.75" bottom="0.75" header="0.3" footer="0.3"/>
  <pageSetup paperSize="9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K17"/>
  <sheetViews>
    <sheetView zoomScaleNormal="100" workbookViewId="0">
      <selection activeCell="B8" sqref="B8"/>
    </sheetView>
  </sheetViews>
  <sheetFormatPr defaultColWidth="9.140625" defaultRowHeight="15"/>
  <cols>
    <col min="1" max="1" width="16.28515625" style="2" customWidth="1"/>
    <col min="2" max="2" width="20.7109375" style="2" customWidth="1"/>
    <col min="3" max="3" width="15.140625" style="2" customWidth="1"/>
    <col min="4" max="4" width="14.5703125" style="2" customWidth="1"/>
    <col min="5" max="5" width="12.7109375" style="2" customWidth="1"/>
    <col min="6" max="6" width="10.85546875" style="2" customWidth="1"/>
    <col min="7" max="8" width="17.5703125" style="2" customWidth="1"/>
    <col min="9" max="9" width="14.42578125" style="2" customWidth="1"/>
    <col min="10" max="10" width="16.5703125" style="2" customWidth="1"/>
    <col min="11" max="16384" width="9.140625" style="2"/>
  </cols>
  <sheetData>
    <row r="1" spans="1:11" ht="18">
      <c r="A1" s="54" t="s">
        <v>22</v>
      </c>
      <c r="B1" s="54"/>
      <c r="C1" s="54"/>
      <c r="D1" s="54"/>
      <c r="E1" s="54"/>
      <c r="F1" s="54"/>
      <c r="G1" s="54"/>
      <c r="H1" s="54"/>
      <c r="I1" s="54"/>
      <c r="J1" s="54"/>
    </row>
    <row r="2" spans="1:11" s="1" customFormat="1" ht="49.5" customHeight="1">
      <c r="A2" s="8" t="s">
        <v>23</v>
      </c>
      <c r="B2" s="9" t="s">
        <v>21</v>
      </c>
      <c r="C2" s="9" t="s">
        <v>20</v>
      </c>
      <c r="D2" s="9" t="s">
        <v>24</v>
      </c>
      <c r="E2" s="9" t="s">
        <v>31</v>
      </c>
      <c r="F2" s="9" t="s">
        <v>30</v>
      </c>
      <c r="G2" s="9" t="s">
        <v>25</v>
      </c>
      <c r="H2" s="9" t="s">
        <v>26</v>
      </c>
      <c r="I2" s="10" t="s">
        <v>0</v>
      </c>
      <c r="J2" s="11" t="s">
        <v>1</v>
      </c>
    </row>
    <row r="3" spans="1:11">
      <c r="A3" s="12" t="s">
        <v>2</v>
      </c>
      <c r="B3" s="13" t="s">
        <v>16</v>
      </c>
      <c r="C3" s="14" t="s">
        <v>10</v>
      </c>
      <c r="D3" s="15">
        <v>7999</v>
      </c>
      <c r="E3" s="16">
        <v>373</v>
      </c>
      <c r="F3" s="16">
        <v>123</v>
      </c>
      <c r="G3" s="15">
        <f t="shared" ref="G3:G14" si="0">D3*E3</f>
        <v>2983627</v>
      </c>
      <c r="H3" s="15">
        <f>Таблица110[[#This Row],[Цена единицы,
руб]] *Таблица110[[#This Row],[Продано, шт.]]</f>
        <v>983877</v>
      </c>
      <c r="I3" s="17" t="s">
        <v>19</v>
      </c>
      <c r="J3" s="18">
        <v>44552</v>
      </c>
      <c r="K3" s="1"/>
    </row>
    <row r="4" spans="1:11">
      <c r="A4" s="12" t="s">
        <v>3</v>
      </c>
      <c r="B4" s="14" t="s">
        <v>16</v>
      </c>
      <c r="C4" s="14" t="s">
        <v>10</v>
      </c>
      <c r="D4" s="15">
        <v>10999</v>
      </c>
      <c r="E4" s="16">
        <v>266</v>
      </c>
      <c r="F4" s="16">
        <v>238</v>
      </c>
      <c r="G4" s="15">
        <f t="shared" si="0"/>
        <v>2925734</v>
      </c>
      <c r="H4" s="15">
        <f>Таблица110[[#This Row],[Цена единицы,
руб]] *Таблица110[[#This Row],[Продано, шт.]]</f>
        <v>2617762</v>
      </c>
      <c r="I4" s="16" t="s">
        <v>19</v>
      </c>
      <c r="J4" s="18">
        <v>44228</v>
      </c>
      <c r="K4" s="1"/>
    </row>
    <row r="5" spans="1:11">
      <c r="A5" s="12" t="s">
        <v>9</v>
      </c>
      <c r="B5" s="14" t="s">
        <v>16</v>
      </c>
      <c r="C5" s="14" t="s">
        <v>10</v>
      </c>
      <c r="D5" s="15">
        <v>47999</v>
      </c>
      <c r="E5" s="16">
        <v>214</v>
      </c>
      <c r="F5" s="16">
        <v>115</v>
      </c>
      <c r="G5" s="15">
        <f t="shared" si="0"/>
        <v>10271786</v>
      </c>
      <c r="H5" s="15">
        <f>Таблица110[[#This Row],[Цена единицы,
руб]] *Таблица110[[#This Row],[Продано, шт.]]</f>
        <v>5519885</v>
      </c>
      <c r="I5" s="16" t="s">
        <v>19</v>
      </c>
      <c r="J5" s="18">
        <v>44250</v>
      </c>
      <c r="K5" s="1"/>
    </row>
    <row r="6" spans="1:11">
      <c r="A6" s="12" t="s">
        <v>4</v>
      </c>
      <c r="B6" s="14" t="s">
        <v>18</v>
      </c>
      <c r="C6" s="14" t="s">
        <v>10</v>
      </c>
      <c r="D6" s="15">
        <v>100999</v>
      </c>
      <c r="E6" s="16">
        <v>454</v>
      </c>
      <c r="F6" s="16">
        <v>326</v>
      </c>
      <c r="G6" s="15">
        <f t="shared" si="0"/>
        <v>45853546</v>
      </c>
      <c r="H6" s="15">
        <f>Таблица110[[#This Row],[Цена единицы,
руб]] *Таблица110[[#This Row],[Продано, шт.]]</f>
        <v>32925674</v>
      </c>
      <c r="I6" s="16" t="s">
        <v>19</v>
      </c>
      <c r="J6" s="18">
        <v>44242</v>
      </c>
      <c r="K6" s="1"/>
    </row>
    <row r="7" spans="1:11">
      <c r="A7" s="12" t="s">
        <v>6</v>
      </c>
      <c r="B7" s="19" t="s">
        <v>16</v>
      </c>
      <c r="C7" s="19" t="s">
        <v>11</v>
      </c>
      <c r="D7" s="15">
        <v>19999</v>
      </c>
      <c r="E7" s="16">
        <v>275</v>
      </c>
      <c r="F7" s="16">
        <v>227</v>
      </c>
      <c r="G7" s="15">
        <f t="shared" si="0"/>
        <v>5499725</v>
      </c>
      <c r="H7" s="15">
        <f>Таблица110[[#This Row],[Цена единицы,
руб]] *Таблица110[[#This Row],[Продано, шт.]]</f>
        <v>4539773</v>
      </c>
      <c r="I7" s="16" t="s">
        <v>19</v>
      </c>
      <c r="J7" s="18">
        <v>44255</v>
      </c>
      <c r="K7" s="1"/>
    </row>
    <row r="8" spans="1:11">
      <c r="A8" s="12" t="s">
        <v>5</v>
      </c>
      <c r="B8" s="14" t="s">
        <v>18</v>
      </c>
      <c r="C8" s="14" t="s">
        <v>11</v>
      </c>
      <c r="D8" s="15">
        <v>201999</v>
      </c>
      <c r="E8" s="16">
        <v>398</v>
      </c>
      <c r="F8" s="16">
        <v>191</v>
      </c>
      <c r="G8" s="15">
        <f t="shared" si="0"/>
        <v>80395602</v>
      </c>
      <c r="H8" s="15">
        <f>Таблица110[[#This Row],[Цена единицы,
руб]] *Таблица110[[#This Row],[Продано, шт.]]</f>
        <v>38581809</v>
      </c>
      <c r="I8" s="17" t="s">
        <v>19</v>
      </c>
      <c r="J8" s="18">
        <v>44545</v>
      </c>
      <c r="K8" s="1"/>
    </row>
    <row r="9" spans="1:11">
      <c r="A9" s="12" t="s">
        <v>28</v>
      </c>
      <c r="B9" s="14" t="s">
        <v>16</v>
      </c>
      <c r="C9" s="14" t="s">
        <v>15</v>
      </c>
      <c r="D9" s="15">
        <v>30999</v>
      </c>
      <c r="E9" s="16">
        <v>315</v>
      </c>
      <c r="F9" s="16">
        <v>110</v>
      </c>
      <c r="G9" s="15">
        <f t="shared" si="0"/>
        <v>9764685</v>
      </c>
      <c r="H9" s="15">
        <f>Таблица110[[#This Row],[Цена единицы,
руб]] *Таблица110[[#This Row],[Продано, шт.]]</f>
        <v>3409890</v>
      </c>
      <c r="I9" s="17" t="s">
        <v>19</v>
      </c>
      <c r="J9" s="18">
        <v>44439</v>
      </c>
      <c r="K9" s="1"/>
    </row>
    <row r="10" spans="1:11">
      <c r="A10" s="12" t="s">
        <v>7</v>
      </c>
      <c r="B10" s="14" t="s">
        <v>18</v>
      </c>
      <c r="C10" s="14" t="s">
        <v>15</v>
      </c>
      <c r="D10" s="15">
        <v>220999</v>
      </c>
      <c r="E10" s="16">
        <v>355</v>
      </c>
      <c r="F10" s="16">
        <v>355</v>
      </c>
      <c r="G10" s="15">
        <f t="shared" si="0"/>
        <v>78454645</v>
      </c>
      <c r="H10" s="15">
        <f>Таблица110[[#This Row],[Цена единицы,
руб]] *Таблица110[[#This Row],[Продано, шт.]]</f>
        <v>78454645</v>
      </c>
      <c r="I10" s="16" t="s">
        <v>19</v>
      </c>
      <c r="J10" s="18">
        <v>44387</v>
      </c>
      <c r="K10" s="1"/>
    </row>
    <row r="11" spans="1:11">
      <c r="A11" s="12" t="s">
        <v>29</v>
      </c>
      <c r="B11" s="19" t="s">
        <v>18</v>
      </c>
      <c r="C11" s="14" t="s">
        <v>15</v>
      </c>
      <c r="D11" s="15">
        <v>129344</v>
      </c>
      <c r="E11" s="16">
        <v>427</v>
      </c>
      <c r="F11" s="16">
        <v>426</v>
      </c>
      <c r="G11" s="15">
        <f t="shared" si="0"/>
        <v>55229888</v>
      </c>
      <c r="H11" s="15">
        <f>Таблица110[[#This Row],[Цена единицы,
руб]] *Таблица110[[#This Row],[Продано, шт.]]</f>
        <v>55100544</v>
      </c>
      <c r="I11" s="16" t="s">
        <v>19</v>
      </c>
      <c r="J11" s="18">
        <v>44540</v>
      </c>
      <c r="K11" s="1"/>
    </row>
    <row r="12" spans="1:11">
      <c r="A12" s="20" t="s">
        <v>14</v>
      </c>
      <c r="B12" s="14" t="s">
        <v>18</v>
      </c>
      <c r="C12" s="19" t="s">
        <v>15</v>
      </c>
      <c r="D12" s="15">
        <v>100343</v>
      </c>
      <c r="E12" s="16">
        <v>298</v>
      </c>
      <c r="F12" s="16">
        <v>175</v>
      </c>
      <c r="G12" s="15">
        <f t="shared" si="0"/>
        <v>29902214</v>
      </c>
      <c r="H12" s="15">
        <f>Таблица110[[#This Row],[Цена единицы,
руб]] *Таблица110[[#This Row],[Продано, шт.]]</f>
        <v>17560025</v>
      </c>
      <c r="I12" s="16" t="s">
        <v>19</v>
      </c>
      <c r="J12" s="18">
        <v>44355</v>
      </c>
      <c r="K12" s="1"/>
    </row>
    <row r="13" spans="1:11">
      <c r="A13" s="12" t="s">
        <v>8</v>
      </c>
      <c r="B13" s="14" t="s">
        <v>17</v>
      </c>
      <c r="C13" s="14" t="s">
        <v>13</v>
      </c>
      <c r="D13" s="15">
        <v>45999</v>
      </c>
      <c r="E13" s="16">
        <v>303</v>
      </c>
      <c r="F13" s="16">
        <v>123</v>
      </c>
      <c r="G13" s="15">
        <f t="shared" si="0"/>
        <v>13937697</v>
      </c>
      <c r="H13" s="15">
        <f>Таблица110[[#This Row],[Цена единицы,
руб]] *Таблица110[[#This Row],[Продано, шт.]]</f>
        <v>5657877</v>
      </c>
      <c r="I13" s="16" t="s">
        <v>19</v>
      </c>
      <c r="J13" s="18">
        <v>44523</v>
      </c>
      <c r="K13" s="1"/>
    </row>
    <row r="14" spans="1:11">
      <c r="A14" s="21" t="s">
        <v>12</v>
      </c>
      <c r="B14" s="22" t="s">
        <v>17</v>
      </c>
      <c r="C14" s="22" t="s">
        <v>13</v>
      </c>
      <c r="D14" s="23">
        <v>38999</v>
      </c>
      <c r="E14" s="24">
        <v>100</v>
      </c>
      <c r="F14" s="24">
        <v>94</v>
      </c>
      <c r="G14" s="23">
        <f t="shared" si="0"/>
        <v>3899900</v>
      </c>
      <c r="H14" s="23">
        <f>Таблица110[[#This Row],[Цена единицы,
руб]] *Таблица110[[#This Row],[Продано, шт.]]</f>
        <v>3665906</v>
      </c>
      <c r="I14" s="24" t="s">
        <v>19</v>
      </c>
      <c r="J14" s="25">
        <v>44385</v>
      </c>
      <c r="K14" s="1"/>
    </row>
    <row r="15" spans="1:11">
      <c r="D15" s="3"/>
      <c r="K15" s="1"/>
    </row>
    <row r="16" spans="1:11" ht="31.5" customHeight="1">
      <c r="A16" s="6" t="s">
        <v>27</v>
      </c>
      <c r="B16" s="7"/>
      <c r="C16" s="5"/>
    </row>
    <row r="17" spans="1:4">
      <c r="A17" s="6"/>
      <c r="B17" s="7"/>
      <c r="C17" s="4"/>
      <c r="D17" s="4"/>
    </row>
  </sheetData>
  <dataConsolidate>
    <dataRefs count="1">
      <dataRef ref="D14:E14" sheet="Зад. 1"/>
    </dataRefs>
  </dataConsolidate>
  <mergeCells count="1">
    <mergeCell ref="A1:J1"/>
  </mergeCells>
  <pageMargins left="0.7" right="0.7" top="0.75" bottom="0.75" header="0.3" footer="0.3"/>
  <pageSetup paperSize="9" orientation="landscape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L33"/>
  <sheetViews>
    <sheetView zoomScaleNormal="100" workbookViewId="0">
      <selection activeCell="J22" sqref="J22:J26"/>
    </sheetView>
  </sheetViews>
  <sheetFormatPr defaultColWidth="9.140625" defaultRowHeight="15"/>
  <cols>
    <col min="1" max="1" width="16.28515625" style="2" customWidth="1"/>
    <col min="2" max="2" width="20.7109375" style="2" customWidth="1"/>
    <col min="3" max="3" width="15.140625" style="2" customWidth="1"/>
    <col min="4" max="4" width="14.5703125" style="2" customWidth="1"/>
    <col min="5" max="5" width="12.7109375" style="2" customWidth="1"/>
    <col min="6" max="6" width="10.85546875" style="2" customWidth="1"/>
    <col min="7" max="8" width="17.5703125" style="2" customWidth="1"/>
    <col min="9" max="9" width="14.42578125" style="2" customWidth="1"/>
    <col min="10" max="10" width="16.5703125" style="2" customWidth="1"/>
    <col min="11" max="11" width="16.85546875" style="2" customWidth="1"/>
    <col min="12" max="16384" width="9.140625" style="2"/>
  </cols>
  <sheetData>
    <row r="1" spans="1:12" ht="18">
      <c r="A1" s="54" t="s">
        <v>22</v>
      </c>
      <c r="B1" s="54"/>
      <c r="C1" s="54"/>
      <c r="D1" s="54"/>
      <c r="E1" s="54"/>
      <c r="F1" s="54"/>
      <c r="G1" s="54"/>
      <c r="H1" s="54"/>
      <c r="I1" s="54"/>
      <c r="J1" s="54"/>
    </row>
    <row r="2" spans="1:12" s="1" customFormat="1" ht="49.5" customHeight="1">
      <c r="A2" s="29" t="s">
        <v>23</v>
      </c>
      <c r="B2" s="30" t="s">
        <v>21</v>
      </c>
      <c r="C2" s="30" t="s">
        <v>20</v>
      </c>
      <c r="D2" s="30" t="s">
        <v>24</v>
      </c>
      <c r="E2" s="30" t="s">
        <v>31</v>
      </c>
      <c r="F2" s="30" t="s">
        <v>30</v>
      </c>
      <c r="G2" s="30" t="s">
        <v>25</v>
      </c>
      <c r="H2" s="30" t="s">
        <v>26</v>
      </c>
      <c r="I2" s="31" t="s">
        <v>0</v>
      </c>
      <c r="J2" s="32" t="s">
        <v>1</v>
      </c>
    </row>
    <row r="3" spans="1:12">
      <c r="A3" s="26" t="s">
        <v>2</v>
      </c>
      <c r="B3" s="13" t="s">
        <v>16</v>
      </c>
      <c r="C3" s="14" t="s">
        <v>10</v>
      </c>
      <c r="D3" s="15">
        <v>7999</v>
      </c>
      <c r="E3" s="16">
        <v>373</v>
      </c>
      <c r="F3" s="16">
        <v>123</v>
      </c>
      <c r="G3" s="15">
        <f t="shared" ref="G3:G14" si="0">D3*E3</f>
        <v>2983627</v>
      </c>
      <c r="H3" s="15">
        <f>'Зад. 3А'!$D3 *'Зад. 3А'!$F3</f>
        <v>983877</v>
      </c>
      <c r="I3" s="17" t="s">
        <v>19</v>
      </c>
      <c r="J3" s="58" t="s">
        <v>37</v>
      </c>
      <c r="K3" s="56"/>
      <c r="L3" s="57"/>
    </row>
    <row r="4" spans="1:12">
      <c r="A4" s="26" t="s">
        <v>3</v>
      </c>
      <c r="B4" s="14" t="s">
        <v>16</v>
      </c>
      <c r="C4" s="14" t="s">
        <v>10</v>
      </c>
      <c r="D4" s="15">
        <v>10999</v>
      </c>
      <c r="E4" s="16">
        <v>266</v>
      </c>
      <c r="F4" s="16">
        <v>238</v>
      </c>
      <c r="G4" s="15">
        <f t="shared" si="0"/>
        <v>2925734</v>
      </c>
      <c r="H4" s="15">
        <f>'Зад. 3А'!$D4 *'Зад. 3А'!$F4</f>
        <v>2617762</v>
      </c>
      <c r="I4" s="16" t="s">
        <v>19</v>
      </c>
      <c r="J4" s="58" t="s">
        <v>38</v>
      </c>
      <c r="K4" s="56"/>
      <c r="L4" s="57"/>
    </row>
    <row r="5" spans="1:12">
      <c r="A5" s="26" t="s">
        <v>4</v>
      </c>
      <c r="B5" s="14" t="s">
        <v>18</v>
      </c>
      <c r="C5" s="14" t="s">
        <v>10</v>
      </c>
      <c r="D5" s="15">
        <v>100999</v>
      </c>
      <c r="E5" s="16">
        <v>454</v>
      </c>
      <c r="F5" s="16">
        <v>326</v>
      </c>
      <c r="G5" s="15">
        <f t="shared" si="0"/>
        <v>45853546</v>
      </c>
      <c r="H5" s="15">
        <f>'Зад. 3А'!$D5 *'Зад. 3А'!$F5</f>
        <v>32925674</v>
      </c>
      <c r="I5" s="16" t="s">
        <v>19</v>
      </c>
      <c r="J5" s="58" t="s">
        <v>39</v>
      </c>
      <c r="K5" s="56"/>
      <c r="L5" s="57"/>
    </row>
    <row r="6" spans="1:12">
      <c r="A6" s="26" t="s">
        <v>5</v>
      </c>
      <c r="B6" s="14" t="s">
        <v>18</v>
      </c>
      <c r="C6" s="14" t="s">
        <v>11</v>
      </c>
      <c r="D6" s="15">
        <v>201999</v>
      </c>
      <c r="E6" s="16">
        <v>398</v>
      </c>
      <c r="F6" s="16">
        <v>191</v>
      </c>
      <c r="G6" s="15">
        <f t="shared" si="0"/>
        <v>80395602</v>
      </c>
      <c r="H6" s="15">
        <f>'Зад. 3А'!$D6 *'Зад. 3А'!$F6</f>
        <v>38581809</v>
      </c>
      <c r="I6" s="17" t="s">
        <v>19</v>
      </c>
      <c r="J6" s="58" t="s">
        <v>36</v>
      </c>
      <c r="K6" s="56"/>
      <c r="L6" s="57"/>
    </row>
    <row r="7" spans="1:12">
      <c r="A7" s="26" t="s">
        <v>6</v>
      </c>
      <c r="B7" s="19" t="s">
        <v>16</v>
      </c>
      <c r="C7" s="19" t="s">
        <v>11</v>
      </c>
      <c r="D7" s="15">
        <v>19999</v>
      </c>
      <c r="E7" s="16">
        <v>275</v>
      </c>
      <c r="F7" s="16">
        <v>227</v>
      </c>
      <c r="G7" s="15">
        <f t="shared" si="0"/>
        <v>5499725</v>
      </c>
      <c r="H7" s="15">
        <f>'Зад. 3А'!$D7 *'Зад. 3А'!$F7</f>
        <v>4539773</v>
      </c>
      <c r="I7" s="16" t="s">
        <v>19</v>
      </c>
      <c r="J7" s="58" t="s">
        <v>40</v>
      </c>
      <c r="K7" s="56"/>
      <c r="L7" s="57"/>
    </row>
    <row r="8" spans="1:12">
      <c r="A8" s="26" t="s">
        <v>28</v>
      </c>
      <c r="B8" s="14" t="s">
        <v>16</v>
      </c>
      <c r="C8" s="14" t="s">
        <v>15</v>
      </c>
      <c r="D8" s="15">
        <v>30999</v>
      </c>
      <c r="E8" s="16">
        <v>315</v>
      </c>
      <c r="F8" s="16">
        <v>110</v>
      </c>
      <c r="G8" s="15">
        <f t="shared" si="0"/>
        <v>9764685</v>
      </c>
      <c r="H8" s="15">
        <f>'Зад. 3А'!$D8 *'Зад. 3А'!$F8</f>
        <v>3409890</v>
      </c>
      <c r="I8" s="17" t="s">
        <v>19</v>
      </c>
      <c r="J8" s="58" t="s">
        <v>41</v>
      </c>
      <c r="K8" s="56"/>
      <c r="L8" s="57"/>
    </row>
    <row r="9" spans="1:12">
      <c r="A9" s="26" t="s">
        <v>7</v>
      </c>
      <c r="B9" s="14" t="s">
        <v>18</v>
      </c>
      <c r="C9" s="14" t="s">
        <v>15</v>
      </c>
      <c r="D9" s="15">
        <v>220999</v>
      </c>
      <c r="E9" s="16">
        <v>355</v>
      </c>
      <c r="F9" s="16">
        <v>355</v>
      </c>
      <c r="G9" s="15">
        <f t="shared" si="0"/>
        <v>78454645</v>
      </c>
      <c r="H9" s="15">
        <f>'Зад. 3А'!$D9 *'Зад. 3А'!$F9</f>
        <v>78454645</v>
      </c>
      <c r="I9" s="16" t="s">
        <v>19</v>
      </c>
      <c r="J9" s="58" t="s">
        <v>42</v>
      </c>
      <c r="K9" s="56"/>
      <c r="L9" s="57"/>
    </row>
    <row r="10" spans="1:12">
      <c r="A10" s="26" t="s">
        <v>29</v>
      </c>
      <c r="B10" s="19" t="s">
        <v>18</v>
      </c>
      <c r="C10" s="14" t="s">
        <v>15</v>
      </c>
      <c r="D10" s="15">
        <v>129344</v>
      </c>
      <c r="E10" s="16">
        <v>427</v>
      </c>
      <c r="F10" s="16">
        <v>426</v>
      </c>
      <c r="G10" s="15">
        <f t="shared" si="0"/>
        <v>55229888</v>
      </c>
      <c r="H10" s="15">
        <f>'Зад. 3А'!$D10 *'Зад. 3А'!$F10</f>
        <v>55100544</v>
      </c>
      <c r="I10" s="16" t="s">
        <v>19</v>
      </c>
      <c r="J10" s="58" t="s">
        <v>43</v>
      </c>
      <c r="K10" s="56"/>
      <c r="L10" s="57"/>
    </row>
    <row r="11" spans="1:12">
      <c r="A11" s="26" t="s">
        <v>8</v>
      </c>
      <c r="B11" s="14" t="s">
        <v>17</v>
      </c>
      <c r="C11" s="14" t="s">
        <v>13</v>
      </c>
      <c r="D11" s="15">
        <v>45999</v>
      </c>
      <c r="E11" s="16">
        <v>303</v>
      </c>
      <c r="F11" s="16">
        <v>123</v>
      </c>
      <c r="G11" s="15">
        <f t="shared" si="0"/>
        <v>13937697</v>
      </c>
      <c r="H11" s="15">
        <f>'Зад. 3А'!$D11 *'Зад. 3А'!$F11</f>
        <v>5657877</v>
      </c>
      <c r="I11" s="16" t="s">
        <v>19</v>
      </c>
      <c r="J11" s="58" t="s">
        <v>44</v>
      </c>
      <c r="K11" s="56"/>
      <c r="L11" s="57"/>
    </row>
    <row r="12" spans="1:12">
      <c r="A12" s="27" t="s">
        <v>14</v>
      </c>
      <c r="B12" s="14" t="s">
        <v>18</v>
      </c>
      <c r="C12" s="19" t="s">
        <v>15</v>
      </c>
      <c r="D12" s="15">
        <v>100343</v>
      </c>
      <c r="E12" s="16">
        <v>298</v>
      </c>
      <c r="F12" s="16">
        <v>175</v>
      </c>
      <c r="G12" s="15">
        <f t="shared" si="0"/>
        <v>29902214</v>
      </c>
      <c r="H12" s="15">
        <f>'Зад. 3А'!$D12 *'Зад. 3А'!$F12</f>
        <v>17560025</v>
      </c>
      <c r="I12" s="16" t="s">
        <v>19</v>
      </c>
      <c r="J12" s="58" t="s">
        <v>45</v>
      </c>
      <c r="K12" s="56"/>
      <c r="L12" s="57"/>
    </row>
    <row r="13" spans="1:12">
      <c r="A13" s="26" t="s">
        <v>9</v>
      </c>
      <c r="B13" s="14" t="s">
        <v>16</v>
      </c>
      <c r="C13" s="14" t="s">
        <v>10</v>
      </c>
      <c r="D13" s="15">
        <v>47999</v>
      </c>
      <c r="E13" s="16">
        <v>214</v>
      </c>
      <c r="F13" s="16">
        <v>115</v>
      </c>
      <c r="G13" s="15">
        <f t="shared" si="0"/>
        <v>10271786</v>
      </c>
      <c r="H13" s="15">
        <f>'Зад. 3А'!$D13 *'Зад. 3А'!$F13</f>
        <v>5519885</v>
      </c>
      <c r="I13" s="16" t="s">
        <v>19</v>
      </c>
      <c r="J13" s="58" t="s">
        <v>46</v>
      </c>
      <c r="L13" s="57"/>
    </row>
    <row r="14" spans="1:12">
      <c r="A14" s="33" t="s">
        <v>12</v>
      </c>
      <c r="B14" s="34" t="s">
        <v>17</v>
      </c>
      <c r="C14" s="34" t="s">
        <v>13</v>
      </c>
      <c r="D14" s="35">
        <v>38999</v>
      </c>
      <c r="E14" s="36">
        <v>100</v>
      </c>
      <c r="F14" s="36">
        <v>94</v>
      </c>
      <c r="G14" s="35">
        <f t="shared" si="0"/>
        <v>3899900</v>
      </c>
      <c r="H14" s="35">
        <f>'Зад. 3А'!$D14 *'Зад. 3А'!$F14</f>
        <v>3665906</v>
      </c>
      <c r="I14" s="36" t="s">
        <v>19</v>
      </c>
      <c r="J14" s="58" t="s">
        <v>47</v>
      </c>
      <c r="L14" s="57"/>
    </row>
    <row r="15" spans="1:12">
      <c r="D15" s="3"/>
      <c r="K15" s="1"/>
    </row>
    <row r="16" spans="1:12" ht="45">
      <c r="A16" s="29" t="s">
        <v>23</v>
      </c>
      <c r="B16" s="30" t="s">
        <v>21</v>
      </c>
      <c r="C16" s="30" t="s">
        <v>20</v>
      </c>
      <c r="D16" s="30" t="s">
        <v>24</v>
      </c>
      <c r="E16" s="30" t="s">
        <v>31</v>
      </c>
      <c r="F16" s="30" t="s">
        <v>30</v>
      </c>
      <c r="G16" s="30" t="s">
        <v>25</v>
      </c>
      <c r="H16" s="30" t="s">
        <v>26</v>
      </c>
      <c r="I16" s="31" t="s">
        <v>0</v>
      </c>
      <c r="J16" s="32" t="s">
        <v>1</v>
      </c>
    </row>
    <row r="17" spans="1:10">
      <c r="A17" s="6"/>
      <c r="B17" s="7"/>
      <c r="C17" s="4"/>
      <c r="D17" s="4"/>
      <c r="J17" s="2" t="str">
        <f>"??.12.??"</f>
        <v>??.12.??</v>
      </c>
    </row>
    <row r="18" spans="1:10">
      <c r="J18" s="2" t="str">
        <f>"??.01.??"</f>
        <v>??.01.??</v>
      </c>
    </row>
    <row r="19" spans="1:10">
      <c r="J19" s="2" t="str">
        <f>"??.02.??"</f>
        <v>??.02.??</v>
      </c>
    </row>
    <row r="21" spans="1:10" ht="45">
      <c r="A21" s="59" t="s">
        <v>23</v>
      </c>
      <c r="B21" s="60" t="s">
        <v>21</v>
      </c>
      <c r="C21" s="60" t="s">
        <v>20</v>
      </c>
      <c r="D21" s="60" t="s">
        <v>24</v>
      </c>
      <c r="E21" s="60" t="s">
        <v>31</v>
      </c>
      <c r="F21" s="60" t="s">
        <v>30</v>
      </c>
      <c r="G21" s="60" t="s">
        <v>25</v>
      </c>
      <c r="H21" s="60" t="s">
        <v>26</v>
      </c>
      <c r="I21" s="61" t="s">
        <v>0</v>
      </c>
      <c r="J21" s="62" t="s">
        <v>1</v>
      </c>
    </row>
    <row r="22" spans="1:10">
      <c r="A22" s="26" t="s">
        <v>4</v>
      </c>
      <c r="B22" s="14" t="s">
        <v>18</v>
      </c>
      <c r="C22" s="14" t="s">
        <v>10</v>
      </c>
      <c r="D22" s="15">
        <v>100999</v>
      </c>
      <c r="E22" s="16">
        <v>454</v>
      </c>
      <c r="F22" s="16">
        <v>326</v>
      </c>
      <c r="G22" s="15">
        <v>45853546</v>
      </c>
      <c r="H22" s="15">
        <v>32925674</v>
      </c>
      <c r="I22" s="16" t="s">
        <v>19</v>
      </c>
      <c r="J22" s="58" t="s">
        <v>39</v>
      </c>
    </row>
    <row r="23" spans="1:10">
      <c r="A23" s="26" t="s">
        <v>5</v>
      </c>
      <c r="B23" s="14" t="s">
        <v>18</v>
      </c>
      <c r="C23" s="14" t="s">
        <v>11</v>
      </c>
      <c r="D23" s="15">
        <v>201999</v>
      </c>
      <c r="E23" s="16">
        <v>398</v>
      </c>
      <c r="F23" s="16">
        <v>191</v>
      </c>
      <c r="G23" s="15">
        <v>80395602</v>
      </c>
      <c r="H23" s="15">
        <v>38581809</v>
      </c>
      <c r="I23" s="17" t="s">
        <v>19</v>
      </c>
      <c r="J23" s="58" t="s">
        <v>36</v>
      </c>
    </row>
    <row r="24" spans="1:10">
      <c r="A24" s="26" t="s">
        <v>6</v>
      </c>
      <c r="B24" s="19" t="s">
        <v>16</v>
      </c>
      <c r="C24" s="19" t="s">
        <v>11</v>
      </c>
      <c r="D24" s="15">
        <v>19999</v>
      </c>
      <c r="E24" s="16">
        <v>275</v>
      </c>
      <c r="F24" s="16">
        <v>227</v>
      </c>
      <c r="G24" s="15">
        <v>5499725</v>
      </c>
      <c r="H24" s="15">
        <v>4539773</v>
      </c>
      <c r="I24" s="16" t="s">
        <v>19</v>
      </c>
      <c r="J24" s="58" t="s">
        <v>40</v>
      </c>
    </row>
    <row r="25" spans="1:10">
      <c r="A25" s="26" t="s">
        <v>28</v>
      </c>
      <c r="B25" s="14" t="s">
        <v>16</v>
      </c>
      <c r="C25" s="14" t="s">
        <v>15</v>
      </c>
      <c r="D25" s="15">
        <v>30999</v>
      </c>
      <c r="E25" s="16">
        <v>315</v>
      </c>
      <c r="F25" s="16">
        <v>110</v>
      </c>
      <c r="G25" s="15">
        <v>9764685</v>
      </c>
      <c r="H25" s="15">
        <v>3409890</v>
      </c>
      <c r="I25" s="17" t="s">
        <v>19</v>
      </c>
      <c r="J25" s="58" t="s">
        <v>41</v>
      </c>
    </row>
    <row r="26" spans="1:10">
      <c r="A26" s="26" t="s">
        <v>9</v>
      </c>
      <c r="B26" s="14" t="s">
        <v>16</v>
      </c>
      <c r="C26" s="14" t="s">
        <v>10</v>
      </c>
      <c r="D26" s="15">
        <v>47999</v>
      </c>
      <c r="E26" s="16">
        <v>214</v>
      </c>
      <c r="F26" s="16">
        <v>115</v>
      </c>
      <c r="G26" s="15">
        <v>10271786</v>
      </c>
      <c r="H26" s="15">
        <v>5519885</v>
      </c>
      <c r="I26" s="16" t="s">
        <v>19</v>
      </c>
      <c r="J26" s="58" t="s">
        <v>46</v>
      </c>
    </row>
    <row r="27" spans="1:10">
      <c r="A27" s="43"/>
      <c r="B27" s="45"/>
      <c r="C27" s="45"/>
      <c r="D27" s="46"/>
      <c r="E27" s="47"/>
      <c r="F27" s="47"/>
      <c r="G27" s="46"/>
      <c r="H27" s="46"/>
      <c r="I27" s="48"/>
      <c r="J27" s="63"/>
    </row>
    <row r="28" spans="1:10">
      <c r="A28" s="43"/>
      <c r="B28" s="45"/>
      <c r="C28" s="45"/>
      <c r="D28" s="46"/>
      <c r="E28" s="47"/>
      <c r="F28" s="47"/>
      <c r="G28" s="46"/>
      <c r="H28" s="46"/>
      <c r="I28" s="47"/>
      <c r="J28" s="63"/>
    </row>
    <row r="29" spans="1:10">
      <c r="A29" s="43"/>
      <c r="B29" s="50"/>
      <c r="C29" s="45"/>
      <c r="D29" s="46"/>
      <c r="E29" s="47"/>
      <c r="F29" s="47"/>
      <c r="G29" s="46"/>
      <c r="H29" s="46"/>
      <c r="I29" s="47"/>
      <c r="J29" s="63"/>
    </row>
    <row r="30" spans="1:10">
      <c r="A30" s="43"/>
      <c r="B30" s="45"/>
      <c r="C30" s="45"/>
      <c r="D30" s="46"/>
      <c r="E30" s="47"/>
      <c r="F30" s="47"/>
      <c r="G30" s="46"/>
      <c r="H30" s="46"/>
      <c r="I30" s="47"/>
      <c r="J30" s="63"/>
    </row>
    <row r="31" spans="1:10">
      <c r="A31" s="51"/>
      <c r="B31" s="45"/>
      <c r="C31" s="50"/>
      <c r="D31" s="46"/>
      <c r="E31" s="47"/>
      <c r="F31" s="47"/>
      <c r="G31" s="46"/>
      <c r="H31" s="46"/>
      <c r="I31" s="47"/>
      <c r="J31" s="63"/>
    </row>
    <row r="32" spans="1:10">
      <c r="A32" s="43"/>
      <c r="B32" s="45"/>
      <c r="C32" s="45"/>
      <c r="D32" s="46"/>
      <c r="E32" s="47"/>
      <c r="F32" s="47"/>
      <c r="G32" s="46"/>
      <c r="H32" s="46"/>
      <c r="I32" s="47"/>
      <c r="J32" s="63"/>
    </row>
    <row r="33" spans="1:10">
      <c r="A33" s="51"/>
      <c r="B33" s="45"/>
      <c r="C33" s="45"/>
      <c r="D33" s="46"/>
      <c r="E33" s="47"/>
      <c r="F33" s="47"/>
      <c r="G33" s="46"/>
      <c r="H33" s="46"/>
      <c r="I33" s="47"/>
      <c r="J33" s="63"/>
    </row>
  </sheetData>
  <dataConsolidate>
    <dataRefs count="1">
      <dataRef ref="D14:E14" sheet="Зад. 1"/>
    </dataRefs>
  </dataConsolidate>
  <mergeCells count="1">
    <mergeCell ref="A1:J1"/>
  </mergeCells>
  <pageMargins left="0.7" right="0.7" top="0.75" bottom="0.75" header="0.3" footer="0.3"/>
  <pageSetup paperSize="9" orientation="landscape" r:id="rId1"/>
  <ignoredErrors>
    <ignoredError sqref="J3:J14 J22:J26" twoDigitTextYear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K22"/>
  <sheetViews>
    <sheetView zoomScaleNormal="100" workbookViewId="0">
      <selection activeCell="B22" sqref="B22"/>
    </sheetView>
  </sheetViews>
  <sheetFormatPr defaultColWidth="9.140625" defaultRowHeight="15"/>
  <cols>
    <col min="1" max="1" width="16.28515625" style="2" customWidth="1"/>
    <col min="2" max="2" width="20.7109375" style="2" customWidth="1"/>
    <col min="3" max="3" width="15.140625" style="2" customWidth="1"/>
    <col min="4" max="4" width="14.5703125" style="2" customWidth="1"/>
    <col min="5" max="5" width="12.7109375" style="2" customWidth="1"/>
    <col min="6" max="6" width="10.85546875" style="2" customWidth="1"/>
    <col min="7" max="8" width="17.5703125" style="2" customWidth="1"/>
    <col min="9" max="9" width="14.42578125" style="2" customWidth="1"/>
    <col min="10" max="10" width="16.5703125" style="2" customWidth="1"/>
    <col min="11" max="16384" width="9.140625" style="2"/>
  </cols>
  <sheetData>
    <row r="1" spans="1:11" ht="18">
      <c r="A1" s="54" t="s">
        <v>22</v>
      </c>
      <c r="B1" s="54"/>
      <c r="C1" s="54"/>
      <c r="D1" s="54"/>
      <c r="E1" s="54"/>
      <c r="F1" s="54"/>
      <c r="G1" s="54"/>
      <c r="H1" s="54"/>
      <c r="I1" s="54"/>
      <c r="J1" s="54"/>
    </row>
    <row r="2" spans="1:11" s="1" customFormat="1" ht="49.5" customHeight="1">
      <c r="A2" s="29" t="s">
        <v>23</v>
      </c>
      <c r="B2" s="30" t="s">
        <v>21</v>
      </c>
      <c r="C2" s="30" t="s">
        <v>20</v>
      </c>
      <c r="D2" s="30" t="s">
        <v>24</v>
      </c>
      <c r="E2" s="30" t="s">
        <v>31</v>
      </c>
      <c r="F2" s="30" t="s">
        <v>30</v>
      </c>
      <c r="G2" s="30" t="s">
        <v>25</v>
      </c>
      <c r="H2" s="30" t="s">
        <v>26</v>
      </c>
      <c r="I2" s="31" t="s">
        <v>0</v>
      </c>
      <c r="J2" s="32" t="s">
        <v>1</v>
      </c>
    </row>
    <row r="3" spans="1:11">
      <c r="A3" s="26" t="s">
        <v>2</v>
      </c>
      <c r="B3" s="13" t="s">
        <v>16</v>
      </c>
      <c r="C3" s="14" t="s">
        <v>10</v>
      </c>
      <c r="D3" s="15">
        <v>7999</v>
      </c>
      <c r="E3" s="16">
        <v>373</v>
      </c>
      <c r="F3" s="16">
        <v>123</v>
      </c>
      <c r="G3" s="15">
        <f t="shared" ref="G3:G14" si="0">D3*E3</f>
        <v>2983627</v>
      </c>
      <c r="H3" s="15">
        <f>'Зад. 3Б'!$D3 *'Зад. 3Б'!$F3</f>
        <v>983877</v>
      </c>
      <c r="I3" s="17" t="s">
        <v>19</v>
      </c>
      <c r="J3" s="28">
        <v>44552</v>
      </c>
      <c r="K3" s="1"/>
    </row>
    <row r="4" spans="1:11">
      <c r="A4" s="26" t="s">
        <v>3</v>
      </c>
      <c r="B4" s="14" t="s">
        <v>16</v>
      </c>
      <c r="C4" s="14" t="s">
        <v>10</v>
      </c>
      <c r="D4" s="15">
        <v>10999</v>
      </c>
      <c r="E4" s="16">
        <v>266</v>
      </c>
      <c r="F4" s="16">
        <v>238</v>
      </c>
      <c r="G4" s="15">
        <f t="shared" si="0"/>
        <v>2925734</v>
      </c>
      <c r="H4" s="15">
        <f>'Зад. 3Б'!$D4 *'Зад. 3Б'!$F4</f>
        <v>2617762</v>
      </c>
      <c r="I4" s="16" t="s">
        <v>19</v>
      </c>
      <c r="J4" s="28">
        <v>44228</v>
      </c>
      <c r="K4" s="1"/>
    </row>
    <row r="5" spans="1:11">
      <c r="A5" s="26" t="s">
        <v>4</v>
      </c>
      <c r="B5" s="14" t="s">
        <v>18</v>
      </c>
      <c r="C5" s="14" t="s">
        <v>10</v>
      </c>
      <c r="D5" s="15">
        <v>100999</v>
      </c>
      <c r="E5" s="16">
        <v>454</v>
      </c>
      <c r="F5" s="16">
        <v>326</v>
      </c>
      <c r="G5" s="15">
        <f t="shared" si="0"/>
        <v>45853546</v>
      </c>
      <c r="H5" s="15">
        <f>'Зад. 3Б'!$D5 *'Зад. 3Б'!$F5</f>
        <v>32925674</v>
      </c>
      <c r="I5" s="16" t="s">
        <v>19</v>
      </c>
      <c r="J5" s="28">
        <v>44242</v>
      </c>
      <c r="K5" s="1"/>
    </row>
    <row r="6" spans="1:11">
      <c r="A6" s="26" t="s">
        <v>5</v>
      </c>
      <c r="B6" s="14" t="s">
        <v>18</v>
      </c>
      <c r="C6" s="14" t="s">
        <v>11</v>
      </c>
      <c r="D6" s="15">
        <v>201999</v>
      </c>
      <c r="E6" s="16">
        <v>398</v>
      </c>
      <c r="F6" s="16">
        <v>191</v>
      </c>
      <c r="G6" s="15">
        <f t="shared" si="0"/>
        <v>80395602</v>
      </c>
      <c r="H6" s="15">
        <f>'Зад. 3Б'!$D6 *'Зад. 3Б'!$F6</f>
        <v>38581809</v>
      </c>
      <c r="I6" s="17" t="s">
        <v>19</v>
      </c>
      <c r="J6" s="28">
        <v>44545</v>
      </c>
      <c r="K6" s="1"/>
    </row>
    <row r="7" spans="1:11">
      <c r="A7" s="26" t="s">
        <v>6</v>
      </c>
      <c r="B7" s="19" t="s">
        <v>16</v>
      </c>
      <c r="C7" s="19" t="s">
        <v>11</v>
      </c>
      <c r="D7" s="15">
        <v>19999</v>
      </c>
      <c r="E7" s="16">
        <v>275</v>
      </c>
      <c r="F7" s="16">
        <v>227</v>
      </c>
      <c r="G7" s="15">
        <f t="shared" si="0"/>
        <v>5499725</v>
      </c>
      <c r="H7" s="15">
        <f>'Зад. 3Б'!$D7 *'Зад. 3Б'!$F7</f>
        <v>4539773</v>
      </c>
      <c r="I7" s="16" t="s">
        <v>19</v>
      </c>
      <c r="J7" s="28">
        <v>44255</v>
      </c>
      <c r="K7" s="1"/>
    </row>
    <row r="8" spans="1:11">
      <c r="A8" s="26" t="s">
        <v>28</v>
      </c>
      <c r="B8" s="14" t="s">
        <v>16</v>
      </c>
      <c r="C8" s="14" t="s">
        <v>15</v>
      </c>
      <c r="D8" s="15">
        <v>30999</v>
      </c>
      <c r="E8" s="16">
        <v>315</v>
      </c>
      <c r="F8" s="16">
        <v>110</v>
      </c>
      <c r="G8" s="15">
        <f t="shared" si="0"/>
        <v>9764685</v>
      </c>
      <c r="H8" s="15">
        <f>'Зад. 3Б'!$D8 *'Зад. 3Б'!$F8</f>
        <v>3409890</v>
      </c>
      <c r="I8" s="17" t="s">
        <v>19</v>
      </c>
      <c r="J8" s="28">
        <v>44439</v>
      </c>
      <c r="K8" s="1"/>
    </row>
    <row r="9" spans="1:11">
      <c r="A9" s="26" t="s">
        <v>7</v>
      </c>
      <c r="B9" s="14" t="s">
        <v>18</v>
      </c>
      <c r="C9" s="14" t="s">
        <v>15</v>
      </c>
      <c r="D9" s="15">
        <v>220999</v>
      </c>
      <c r="E9" s="16">
        <v>355</v>
      </c>
      <c r="F9" s="16">
        <v>355</v>
      </c>
      <c r="G9" s="15">
        <f t="shared" si="0"/>
        <v>78454645</v>
      </c>
      <c r="H9" s="15">
        <f>'Зад. 3Б'!$D9 *'Зад. 3Б'!$F9</f>
        <v>78454645</v>
      </c>
      <c r="I9" s="16" t="s">
        <v>19</v>
      </c>
      <c r="J9" s="28">
        <v>44387</v>
      </c>
      <c r="K9" s="1"/>
    </row>
    <row r="10" spans="1:11">
      <c r="A10" s="26" t="s">
        <v>29</v>
      </c>
      <c r="B10" s="19" t="s">
        <v>18</v>
      </c>
      <c r="C10" s="14" t="s">
        <v>15</v>
      </c>
      <c r="D10" s="15">
        <v>129344</v>
      </c>
      <c r="E10" s="16">
        <v>427</v>
      </c>
      <c r="F10" s="16">
        <v>426</v>
      </c>
      <c r="G10" s="15">
        <f t="shared" si="0"/>
        <v>55229888</v>
      </c>
      <c r="H10" s="15">
        <f>'Зад. 3Б'!$D10 *'Зад. 3Б'!$F10</f>
        <v>55100544</v>
      </c>
      <c r="I10" s="16" t="s">
        <v>19</v>
      </c>
      <c r="J10" s="28">
        <v>44540</v>
      </c>
      <c r="K10" s="1"/>
    </row>
    <row r="11" spans="1:11">
      <c r="A11" s="26" t="s">
        <v>8</v>
      </c>
      <c r="B11" s="14" t="s">
        <v>17</v>
      </c>
      <c r="C11" s="14" t="s">
        <v>13</v>
      </c>
      <c r="D11" s="15">
        <v>45999</v>
      </c>
      <c r="E11" s="16">
        <v>303</v>
      </c>
      <c r="F11" s="16">
        <v>123</v>
      </c>
      <c r="G11" s="15">
        <f t="shared" si="0"/>
        <v>13937697</v>
      </c>
      <c r="H11" s="15">
        <f>'Зад. 3Б'!$D11 *'Зад. 3Б'!$F11</f>
        <v>5657877</v>
      </c>
      <c r="I11" s="16" t="s">
        <v>19</v>
      </c>
      <c r="J11" s="28">
        <v>44523</v>
      </c>
      <c r="K11" s="1"/>
    </row>
    <row r="12" spans="1:11">
      <c r="A12" s="27" t="s">
        <v>14</v>
      </c>
      <c r="B12" s="14" t="s">
        <v>18</v>
      </c>
      <c r="C12" s="19" t="s">
        <v>15</v>
      </c>
      <c r="D12" s="15">
        <v>100343</v>
      </c>
      <c r="E12" s="16">
        <v>298</v>
      </c>
      <c r="F12" s="16">
        <v>175</v>
      </c>
      <c r="G12" s="15">
        <f t="shared" si="0"/>
        <v>29902214</v>
      </c>
      <c r="H12" s="15">
        <f>'Зад. 3Б'!$D12 *'Зад. 3Б'!$F12</f>
        <v>17560025</v>
      </c>
      <c r="I12" s="16" t="s">
        <v>19</v>
      </c>
      <c r="J12" s="28">
        <v>44355</v>
      </c>
      <c r="K12" s="1"/>
    </row>
    <row r="13" spans="1:11">
      <c r="A13" s="26" t="s">
        <v>9</v>
      </c>
      <c r="B13" s="14" t="s">
        <v>16</v>
      </c>
      <c r="C13" s="14" t="s">
        <v>10</v>
      </c>
      <c r="D13" s="15">
        <v>47999</v>
      </c>
      <c r="E13" s="16">
        <v>214</v>
      </c>
      <c r="F13" s="16">
        <v>115</v>
      </c>
      <c r="G13" s="15">
        <f t="shared" si="0"/>
        <v>10271786</v>
      </c>
      <c r="H13" s="15">
        <f>'Зад. 3Б'!$D13 *'Зад. 3Б'!$F13</f>
        <v>5519885</v>
      </c>
      <c r="I13" s="16" t="s">
        <v>19</v>
      </c>
      <c r="J13" s="28">
        <v>44250</v>
      </c>
      <c r="K13" s="1"/>
    </row>
    <row r="14" spans="1:11">
      <c r="A14" s="33" t="s">
        <v>12</v>
      </c>
      <c r="B14" s="34" t="s">
        <v>17</v>
      </c>
      <c r="C14" s="34" t="s">
        <v>13</v>
      </c>
      <c r="D14" s="35">
        <v>38999</v>
      </c>
      <c r="E14" s="36">
        <v>100</v>
      </c>
      <c r="F14" s="36">
        <v>94</v>
      </c>
      <c r="G14" s="35">
        <f t="shared" si="0"/>
        <v>3899900</v>
      </c>
      <c r="H14" s="35">
        <f>'Зад. 3Б'!$D14 *'Зад. 3Б'!$F14</f>
        <v>3665906</v>
      </c>
      <c r="I14" s="36" t="s">
        <v>19</v>
      </c>
      <c r="J14" s="37">
        <v>44385</v>
      </c>
      <c r="K14" s="1"/>
    </row>
    <row r="15" spans="1:11">
      <c r="D15" s="3"/>
      <c r="K15" s="1"/>
    </row>
    <row r="16" spans="1:11" ht="45">
      <c r="A16" s="29" t="s">
        <v>23</v>
      </c>
      <c r="B16" s="30" t="s">
        <v>21</v>
      </c>
      <c r="C16" s="30" t="s">
        <v>20</v>
      </c>
      <c r="D16" s="30" t="s">
        <v>24</v>
      </c>
      <c r="E16" s="30" t="s">
        <v>31</v>
      </c>
      <c r="F16" s="30" t="s">
        <v>30</v>
      </c>
      <c r="G16" s="30" t="s">
        <v>25</v>
      </c>
      <c r="H16" s="30" t="s">
        <v>26</v>
      </c>
      <c r="I16" s="31" t="s">
        <v>0</v>
      </c>
      <c r="J16" s="32" t="s">
        <v>1</v>
      </c>
    </row>
    <row r="17" spans="1:10">
      <c r="A17" s="6"/>
      <c r="B17" s="7"/>
      <c r="C17" s="4" t="s">
        <v>15</v>
      </c>
      <c r="D17" s="4"/>
      <c r="F17" s="2" t="s">
        <v>35</v>
      </c>
    </row>
    <row r="19" spans="1:10" ht="45">
      <c r="A19" s="29" t="s">
        <v>23</v>
      </c>
      <c r="B19" s="30" t="s">
        <v>21</v>
      </c>
      <c r="C19" s="30" t="s">
        <v>20</v>
      </c>
      <c r="D19" s="30" t="s">
        <v>24</v>
      </c>
      <c r="E19" s="30" t="s">
        <v>31</v>
      </c>
      <c r="F19" s="30" t="s">
        <v>30</v>
      </c>
      <c r="G19" s="30" t="s">
        <v>25</v>
      </c>
      <c r="H19" s="30" t="s">
        <v>26</v>
      </c>
      <c r="I19" s="31" t="s">
        <v>0</v>
      </c>
      <c r="J19" s="32" t="s">
        <v>1</v>
      </c>
    </row>
    <row r="20" spans="1:10">
      <c r="A20" s="26" t="s">
        <v>7</v>
      </c>
      <c r="B20" s="14" t="s">
        <v>18</v>
      </c>
      <c r="C20" s="14" t="s">
        <v>15</v>
      </c>
      <c r="D20" s="15">
        <v>220999</v>
      </c>
      <c r="E20" s="16">
        <v>355</v>
      </c>
      <c r="F20" s="16">
        <v>355</v>
      </c>
      <c r="G20" s="15">
        <v>78454645</v>
      </c>
      <c r="H20" s="15">
        <v>78454645</v>
      </c>
      <c r="I20" s="16" t="s">
        <v>19</v>
      </c>
      <c r="J20" s="28">
        <v>44387</v>
      </c>
    </row>
    <row r="21" spans="1:10">
      <c r="A21" s="26" t="s">
        <v>29</v>
      </c>
      <c r="B21" s="19" t="s">
        <v>18</v>
      </c>
      <c r="C21" s="14" t="s">
        <v>15</v>
      </c>
      <c r="D21" s="15">
        <v>129344</v>
      </c>
      <c r="E21" s="16">
        <v>427</v>
      </c>
      <c r="F21" s="16">
        <v>426</v>
      </c>
      <c r="G21" s="15">
        <v>55229888</v>
      </c>
      <c r="H21" s="15">
        <v>55100544</v>
      </c>
      <c r="I21" s="16" t="s">
        <v>19</v>
      </c>
      <c r="J21" s="28">
        <v>44540</v>
      </c>
    </row>
    <row r="22" spans="1:10">
      <c r="A22" s="27" t="s">
        <v>14</v>
      </c>
      <c r="B22" s="14" t="s">
        <v>18</v>
      </c>
      <c r="C22" s="19" t="s">
        <v>15</v>
      </c>
      <c r="D22" s="15">
        <v>100343</v>
      </c>
      <c r="E22" s="16">
        <v>298</v>
      </c>
      <c r="F22" s="16">
        <v>175</v>
      </c>
      <c r="G22" s="15">
        <v>29902214</v>
      </c>
      <c r="H22" s="15">
        <v>17560025</v>
      </c>
      <c r="I22" s="16" t="s">
        <v>19</v>
      </c>
      <c r="J22" s="28">
        <v>44355</v>
      </c>
    </row>
  </sheetData>
  <dataConsolidate>
    <dataRefs count="1">
      <dataRef ref="D14:E14" sheet="Зад. 1"/>
    </dataRefs>
  </dataConsolidate>
  <mergeCells count="1">
    <mergeCell ref="A1:J1"/>
  </mergeCells>
  <pageMargins left="0.7" right="0.7" top="0.75" bottom="0.75" header="0.3" footer="0.3"/>
  <pageSetup paperSize="9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K28"/>
  <sheetViews>
    <sheetView zoomScaleNormal="100" workbookViewId="0">
      <selection activeCell="L20" sqref="L20"/>
    </sheetView>
  </sheetViews>
  <sheetFormatPr defaultColWidth="9.140625" defaultRowHeight="14.25"/>
  <cols>
    <col min="1" max="1" width="16.28515625" style="52" customWidth="1"/>
    <col min="2" max="2" width="20.7109375" style="52" customWidth="1"/>
    <col min="3" max="3" width="15.140625" style="52" customWidth="1"/>
    <col min="4" max="4" width="14.5703125" style="52" customWidth="1"/>
    <col min="5" max="5" width="12.7109375" style="52" customWidth="1"/>
    <col min="6" max="6" width="10.85546875" style="52" customWidth="1"/>
    <col min="7" max="7" width="18.5703125" style="52" customWidth="1"/>
    <col min="8" max="8" width="17.5703125" style="52" customWidth="1"/>
    <col min="9" max="9" width="14.42578125" style="52" customWidth="1"/>
    <col min="10" max="10" width="16.5703125" style="52" customWidth="1"/>
    <col min="11" max="11" width="9.140625" style="52"/>
    <col min="12" max="12" width="15.140625" style="52" customWidth="1"/>
    <col min="13" max="16384" width="9.140625" style="52"/>
  </cols>
  <sheetData>
    <row r="1" spans="1:11" ht="18">
      <c r="A1" s="54" t="s">
        <v>22</v>
      </c>
      <c r="B1" s="54"/>
      <c r="C1" s="54"/>
      <c r="D1" s="54"/>
      <c r="E1" s="54"/>
      <c r="F1" s="54"/>
      <c r="G1" s="54"/>
      <c r="H1" s="54"/>
      <c r="I1" s="54"/>
      <c r="J1" s="54"/>
    </row>
    <row r="2" spans="1:11" s="53" customFormat="1" ht="49.5" customHeight="1">
      <c r="A2" s="29" t="s">
        <v>23</v>
      </c>
      <c r="B2" s="30" t="s">
        <v>21</v>
      </c>
      <c r="C2" s="30" t="s">
        <v>20</v>
      </c>
      <c r="D2" s="30" t="s">
        <v>24</v>
      </c>
      <c r="E2" s="30" t="s">
        <v>31</v>
      </c>
      <c r="F2" s="30" t="s">
        <v>30</v>
      </c>
      <c r="G2" s="30" t="s">
        <v>25</v>
      </c>
      <c r="H2" s="30" t="s">
        <v>26</v>
      </c>
      <c r="I2" s="31" t="s">
        <v>0</v>
      </c>
      <c r="J2" s="32" t="s">
        <v>1</v>
      </c>
    </row>
    <row r="3" spans="1:11">
      <c r="A3" s="26" t="s">
        <v>2</v>
      </c>
      <c r="B3" s="13" t="s">
        <v>16</v>
      </c>
      <c r="C3" s="14" t="s">
        <v>10</v>
      </c>
      <c r="D3" s="15">
        <v>7999</v>
      </c>
      <c r="E3" s="16">
        <v>373</v>
      </c>
      <c r="F3" s="16">
        <v>123</v>
      </c>
      <c r="G3" s="15">
        <f t="shared" ref="G3:G14" si="0">D3*E3</f>
        <v>2983627</v>
      </c>
      <c r="H3" s="15">
        <f>'Зад. 3В'!$D3 *'Зад. 3В'!$F3</f>
        <v>983877</v>
      </c>
      <c r="I3" s="17" t="s">
        <v>19</v>
      </c>
      <c r="J3" s="28">
        <v>44552</v>
      </c>
      <c r="K3" s="53"/>
    </row>
    <row r="4" spans="1:11">
      <c r="A4" s="26" t="s">
        <v>3</v>
      </c>
      <c r="B4" s="14" t="s">
        <v>16</v>
      </c>
      <c r="C4" s="14" t="s">
        <v>10</v>
      </c>
      <c r="D4" s="15">
        <v>10999</v>
      </c>
      <c r="E4" s="16">
        <v>266</v>
      </c>
      <c r="F4" s="16">
        <v>238</v>
      </c>
      <c r="G4" s="15">
        <f t="shared" si="0"/>
        <v>2925734</v>
      </c>
      <c r="H4" s="15">
        <f>'Зад. 3В'!$D4 *'Зад. 3В'!$F4</f>
        <v>2617762</v>
      </c>
      <c r="I4" s="16" t="s">
        <v>19</v>
      </c>
      <c r="J4" s="28">
        <v>44228</v>
      </c>
      <c r="K4" s="53"/>
    </row>
    <row r="5" spans="1:11">
      <c r="A5" s="26" t="s">
        <v>4</v>
      </c>
      <c r="B5" s="14" t="s">
        <v>18</v>
      </c>
      <c r="C5" s="14" t="s">
        <v>10</v>
      </c>
      <c r="D5" s="15">
        <v>100999</v>
      </c>
      <c r="E5" s="16">
        <v>454</v>
      </c>
      <c r="F5" s="16">
        <v>326</v>
      </c>
      <c r="G5" s="15">
        <f t="shared" si="0"/>
        <v>45853546</v>
      </c>
      <c r="H5" s="15">
        <f>'Зад. 3В'!$D5 *'Зад. 3В'!$F5</f>
        <v>32925674</v>
      </c>
      <c r="I5" s="16" t="s">
        <v>19</v>
      </c>
      <c r="J5" s="28">
        <v>44242</v>
      </c>
      <c r="K5" s="53"/>
    </row>
    <row r="6" spans="1:11">
      <c r="A6" s="26" t="s">
        <v>5</v>
      </c>
      <c r="B6" s="14" t="s">
        <v>18</v>
      </c>
      <c r="C6" s="14" t="s">
        <v>11</v>
      </c>
      <c r="D6" s="15">
        <v>201999</v>
      </c>
      <c r="E6" s="16">
        <v>398</v>
      </c>
      <c r="F6" s="16">
        <v>191</v>
      </c>
      <c r="G6" s="15">
        <f t="shared" si="0"/>
        <v>80395602</v>
      </c>
      <c r="H6" s="15">
        <f>'Зад. 3В'!$D6 *'Зад. 3В'!$F6</f>
        <v>38581809</v>
      </c>
      <c r="I6" s="17" t="s">
        <v>19</v>
      </c>
      <c r="J6" s="28">
        <v>44545</v>
      </c>
      <c r="K6" s="53"/>
    </row>
    <row r="7" spans="1:11">
      <c r="A7" s="26" t="s">
        <v>6</v>
      </c>
      <c r="B7" s="19" t="s">
        <v>16</v>
      </c>
      <c r="C7" s="19" t="s">
        <v>11</v>
      </c>
      <c r="D7" s="15">
        <v>19999</v>
      </c>
      <c r="E7" s="16">
        <v>275</v>
      </c>
      <c r="F7" s="16">
        <v>227</v>
      </c>
      <c r="G7" s="15">
        <f t="shared" si="0"/>
        <v>5499725</v>
      </c>
      <c r="H7" s="15">
        <f>'Зад. 3В'!$D7 *'Зад. 3В'!$F7</f>
        <v>4539773</v>
      </c>
      <c r="I7" s="16" t="s">
        <v>19</v>
      </c>
      <c r="J7" s="28">
        <v>44255</v>
      </c>
      <c r="K7" s="53"/>
    </row>
    <row r="8" spans="1:11">
      <c r="A8" s="26" t="s">
        <v>28</v>
      </c>
      <c r="B8" s="14" t="s">
        <v>16</v>
      </c>
      <c r="C8" s="14" t="s">
        <v>15</v>
      </c>
      <c r="D8" s="15">
        <v>30999</v>
      </c>
      <c r="E8" s="16">
        <v>315</v>
      </c>
      <c r="F8" s="16">
        <v>110</v>
      </c>
      <c r="G8" s="15">
        <f t="shared" si="0"/>
        <v>9764685</v>
      </c>
      <c r="H8" s="15">
        <f>'Зад. 3В'!$D8 *'Зад. 3В'!$F8</f>
        <v>3409890</v>
      </c>
      <c r="I8" s="17" t="s">
        <v>19</v>
      </c>
      <c r="J8" s="28">
        <v>44439</v>
      </c>
      <c r="K8" s="53"/>
    </row>
    <row r="9" spans="1:11">
      <c r="A9" s="26" t="s">
        <v>7</v>
      </c>
      <c r="B9" s="14" t="s">
        <v>18</v>
      </c>
      <c r="C9" s="14" t="s">
        <v>15</v>
      </c>
      <c r="D9" s="15">
        <v>220999</v>
      </c>
      <c r="E9" s="16">
        <v>355</v>
      </c>
      <c r="F9" s="16">
        <v>355</v>
      </c>
      <c r="G9" s="15">
        <f t="shared" si="0"/>
        <v>78454645</v>
      </c>
      <c r="H9" s="15">
        <f>'Зад. 3В'!$D9 *'Зад. 3В'!$F9</f>
        <v>78454645</v>
      </c>
      <c r="I9" s="16" t="s">
        <v>19</v>
      </c>
      <c r="J9" s="28">
        <v>44387</v>
      </c>
      <c r="K9" s="53"/>
    </row>
    <row r="10" spans="1:11">
      <c r="A10" s="26" t="s">
        <v>34</v>
      </c>
      <c r="B10" s="19" t="s">
        <v>18</v>
      </c>
      <c r="C10" s="14" t="s">
        <v>15</v>
      </c>
      <c r="D10" s="15">
        <v>129344</v>
      </c>
      <c r="E10" s="16">
        <v>427</v>
      </c>
      <c r="F10" s="16">
        <v>426</v>
      </c>
      <c r="G10" s="15">
        <f t="shared" si="0"/>
        <v>55229888</v>
      </c>
      <c r="H10" s="15">
        <f>'Зад. 3В'!$D10 *'Зад. 3В'!$F10</f>
        <v>55100544</v>
      </c>
      <c r="I10" s="16" t="s">
        <v>19</v>
      </c>
      <c r="J10" s="28">
        <v>44540</v>
      </c>
      <c r="K10" s="53"/>
    </row>
    <row r="11" spans="1:11">
      <c r="A11" s="26" t="s">
        <v>8</v>
      </c>
      <c r="B11" s="14" t="s">
        <v>17</v>
      </c>
      <c r="C11" s="14" t="s">
        <v>13</v>
      </c>
      <c r="D11" s="15">
        <v>45999</v>
      </c>
      <c r="E11" s="16">
        <v>303</v>
      </c>
      <c r="F11" s="16">
        <v>123</v>
      </c>
      <c r="G11" s="15">
        <f t="shared" si="0"/>
        <v>13937697</v>
      </c>
      <c r="H11" s="15">
        <f>'Зад. 3В'!$D11 *'Зад. 3В'!$F11</f>
        <v>5657877</v>
      </c>
      <c r="I11" s="16" t="s">
        <v>19</v>
      </c>
      <c r="J11" s="28">
        <v>44523</v>
      </c>
      <c r="K11" s="53"/>
    </row>
    <row r="12" spans="1:11">
      <c r="A12" s="27" t="s">
        <v>14</v>
      </c>
      <c r="B12" s="14" t="s">
        <v>18</v>
      </c>
      <c r="C12" s="19" t="s">
        <v>15</v>
      </c>
      <c r="D12" s="15">
        <v>100343</v>
      </c>
      <c r="E12" s="16">
        <v>298</v>
      </c>
      <c r="F12" s="16">
        <v>175</v>
      </c>
      <c r="G12" s="15">
        <f t="shared" si="0"/>
        <v>29902214</v>
      </c>
      <c r="H12" s="15">
        <f>'Зад. 3В'!$D12 *'Зад. 3В'!$F12</f>
        <v>17560025</v>
      </c>
      <c r="I12" s="16" t="s">
        <v>19</v>
      </c>
      <c r="J12" s="28">
        <v>44355</v>
      </c>
      <c r="K12" s="53"/>
    </row>
    <row r="13" spans="1:11">
      <c r="A13" s="26" t="s">
        <v>9</v>
      </c>
      <c r="B13" s="14" t="s">
        <v>16</v>
      </c>
      <c r="C13" s="14" t="s">
        <v>10</v>
      </c>
      <c r="D13" s="15">
        <v>47999</v>
      </c>
      <c r="E13" s="16">
        <v>214</v>
      </c>
      <c r="F13" s="16">
        <v>115</v>
      </c>
      <c r="G13" s="15">
        <f t="shared" si="0"/>
        <v>10271786</v>
      </c>
      <c r="H13" s="15">
        <f>'Зад. 3В'!$D13 *'Зад. 3В'!$F13</f>
        <v>5519885</v>
      </c>
      <c r="I13" s="16" t="s">
        <v>19</v>
      </c>
      <c r="J13" s="28">
        <v>44250</v>
      </c>
      <c r="K13" s="53"/>
    </row>
    <row r="14" spans="1:11">
      <c r="A14" s="33" t="s">
        <v>12</v>
      </c>
      <c r="B14" s="34" t="s">
        <v>17</v>
      </c>
      <c r="C14" s="34" t="s">
        <v>13</v>
      </c>
      <c r="D14" s="35">
        <v>38999</v>
      </c>
      <c r="E14" s="36">
        <v>100</v>
      </c>
      <c r="F14" s="36">
        <v>94</v>
      </c>
      <c r="G14" s="35">
        <f t="shared" si="0"/>
        <v>3899900</v>
      </c>
      <c r="H14" s="35">
        <f>'Зад. 3В'!$D14 *'Зад. 3В'!$F14</f>
        <v>3665906</v>
      </c>
      <c r="I14" s="36" t="s">
        <v>19</v>
      </c>
      <c r="J14" s="37">
        <v>44385</v>
      </c>
      <c r="K14" s="53"/>
    </row>
    <row r="15" spans="1:11">
      <c r="K15" s="53"/>
    </row>
    <row r="16" spans="1:11" ht="45">
      <c r="A16" s="41" t="s">
        <v>23</v>
      </c>
      <c r="B16" s="41" t="s">
        <v>21</v>
      </c>
      <c r="C16" s="41" t="s">
        <v>20</v>
      </c>
      <c r="D16" s="41" t="s">
        <v>24</v>
      </c>
      <c r="E16" s="41" t="s">
        <v>31</v>
      </c>
      <c r="F16" s="41" t="s">
        <v>30</v>
      </c>
      <c r="G16" s="41" t="s">
        <v>25</v>
      </c>
      <c r="H16" s="41" t="s">
        <v>26</v>
      </c>
      <c r="I16" s="42" t="s">
        <v>0</v>
      </c>
      <c r="J16" s="42" t="s">
        <v>1</v>
      </c>
    </row>
    <row r="17" spans="1:10">
      <c r="A17" s="43" t="str">
        <f>"*IBM*"</f>
        <v>*IBM*</v>
      </c>
      <c r="B17" s="44"/>
      <c r="C17" s="45"/>
      <c r="D17" s="46"/>
      <c r="E17" s="47"/>
      <c r="F17" s="47"/>
      <c r="G17" s="46"/>
      <c r="H17" s="46"/>
      <c r="I17" s="48"/>
      <c r="J17" s="49"/>
    </row>
    <row r="18" spans="1:10">
      <c r="A18" s="43"/>
      <c r="B18" s="45"/>
      <c r="C18" s="45" t="s">
        <v>13</v>
      </c>
      <c r="D18" s="46"/>
      <c r="E18" s="47"/>
      <c r="F18" s="47"/>
      <c r="G18" s="46"/>
      <c r="H18" s="46"/>
      <c r="I18" s="47"/>
      <c r="J18" s="49"/>
    </row>
    <row r="19" spans="1:10">
      <c r="A19" s="43"/>
      <c r="B19" s="45"/>
      <c r="C19" s="45"/>
      <c r="D19" s="46"/>
      <c r="E19" s="47"/>
      <c r="F19" s="47"/>
      <c r="G19" s="46"/>
      <c r="H19" s="46"/>
      <c r="I19" s="47"/>
      <c r="J19" s="49"/>
    </row>
    <row r="20" spans="1:10" ht="45">
      <c r="A20" s="29" t="s">
        <v>23</v>
      </c>
      <c r="B20" s="30" t="s">
        <v>21</v>
      </c>
      <c r="C20" s="30" t="s">
        <v>20</v>
      </c>
      <c r="D20" s="30" t="s">
        <v>24</v>
      </c>
      <c r="E20" s="30" t="s">
        <v>31</v>
      </c>
      <c r="F20" s="30" t="s">
        <v>30</v>
      </c>
      <c r="G20" s="30" t="s">
        <v>25</v>
      </c>
      <c r="H20" s="30" t="s">
        <v>26</v>
      </c>
      <c r="I20" s="31" t="s">
        <v>0</v>
      </c>
      <c r="J20" s="32" t="s">
        <v>1</v>
      </c>
    </row>
    <row r="21" spans="1:10">
      <c r="A21" s="26" t="s">
        <v>28</v>
      </c>
      <c r="B21" s="14" t="s">
        <v>16</v>
      </c>
      <c r="C21" s="14" t="s">
        <v>15</v>
      </c>
      <c r="D21" s="15">
        <v>30999</v>
      </c>
      <c r="E21" s="16">
        <v>315</v>
      </c>
      <c r="F21" s="16">
        <v>110</v>
      </c>
      <c r="G21" s="15">
        <v>9764685</v>
      </c>
      <c r="H21" s="15">
        <v>3409890</v>
      </c>
      <c r="I21" s="17" t="s">
        <v>19</v>
      </c>
      <c r="J21" s="28">
        <v>44439</v>
      </c>
    </row>
    <row r="22" spans="1:10">
      <c r="A22" s="26" t="s">
        <v>34</v>
      </c>
      <c r="B22" s="19" t="s">
        <v>18</v>
      </c>
      <c r="C22" s="14" t="s">
        <v>15</v>
      </c>
      <c r="D22" s="15">
        <v>129344</v>
      </c>
      <c r="E22" s="16">
        <v>427</v>
      </c>
      <c r="F22" s="16">
        <v>426</v>
      </c>
      <c r="G22" s="15">
        <v>55229888</v>
      </c>
      <c r="H22" s="15">
        <v>55100544</v>
      </c>
      <c r="I22" s="16" t="s">
        <v>19</v>
      </c>
      <c r="J22" s="28">
        <v>44540</v>
      </c>
    </row>
    <row r="23" spans="1:10">
      <c r="A23" s="26" t="s">
        <v>8</v>
      </c>
      <c r="B23" s="14" t="s">
        <v>17</v>
      </c>
      <c r="C23" s="14" t="s">
        <v>13</v>
      </c>
      <c r="D23" s="15">
        <v>45999</v>
      </c>
      <c r="E23" s="16">
        <v>303</v>
      </c>
      <c r="F23" s="16">
        <v>123</v>
      </c>
      <c r="G23" s="15">
        <v>13937697</v>
      </c>
      <c r="H23" s="15">
        <v>5657877</v>
      </c>
      <c r="I23" s="16" t="s">
        <v>19</v>
      </c>
      <c r="J23" s="28">
        <v>44523</v>
      </c>
    </row>
    <row r="24" spans="1:10">
      <c r="A24" s="33" t="s">
        <v>12</v>
      </c>
      <c r="B24" s="34" t="s">
        <v>17</v>
      </c>
      <c r="C24" s="34" t="s">
        <v>13</v>
      </c>
      <c r="D24" s="35">
        <v>38999</v>
      </c>
      <c r="E24" s="36">
        <v>100</v>
      </c>
      <c r="F24" s="36">
        <v>94</v>
      </c>
      <c r="G24" s="35">
        <v>3899900</v>
      </c>
      <c r="H24" s="35">
        <v>3665906</v>
      </c>
      <c r="I24" s="36" t="s">
        <v>19</v>
      </c>
      <c r="J24" s="37">
        <v>44385</v>
      </c>
    </row>
    <row r="25" spans="1:10">
      <c r="A25" s="43"/>
      <c r="B25" s="45"/>
      <c r="C25" s="45"/>
      <c r="D25" s="46"/>
      <c r="E25" s="47"/>
      <c r="F25" s="47"/>
      <c r="G25" s="46"/>
      <c r="H25" s="46"/>
      <c r="I25" s="47"/>
      <c r="J25" s="49"/>
    </row>
    <row r="26" spans="1:10">
      <c r="A26" s="51"/>
      <c r="B26" s="45"/>
      <c r="C26" s="50"/>
      <c r="D26" s="46"/>
      <c r="E26" s="47"/>
      <c r="F26" s="47"/>
      <c r="G26" s="46"/>
      <c r="H26" s="46"/>
      <c r="I26" s="47"/>
      <c r="J26" s="49"/>
    </row>
    <row r="27" spans="1:10">
      <c r="A27" s="43"/>
      <c r="B27" s="45"/>
      <c r="C27" s="45"/>
      <c r="D27" s="46"/>
      <c r="E27" s="47"/>
      <c r="F27" s="47"/>
      <c r="G27" s="46"/>
      <c r="H27" s="46"/>
      <c r="I27" s="47"/>
      <c r="J27" s="49"/>
    </row>
    <row r="28" spans="1:10">
      <c r="A28" s="51"/>
      <c r="B28" s="45"/>
      <c r="C28" s="45"/>
      <c r="D28" s="46"/>
      <c r="E28" s="47"/>
      <c r="F28" s="47"/>
      <c r="G28" s="46"/>
      <c r="H28" s="46"/>
      <c r="I28" s="47"/>
      <c r="J28" s="49"/>
    </row>
  </sheetData>
  <dataConsolidate>
    <dataRefs count="1">
      <dataRef ref="D14:E14" sheet="Зад. 1"/>
    </dataRefs>
  </dataConsolidate>
  <mergeCells count="1">
    <mergeCell ref="A1:J1"/>
  </mergeCells>
  <pageMargins left="0.7" right="0.7" top="0.75" bottom="0.75" header="0.3" footer="0.3"/>
  <pageSetup paperSize="9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K17"/>
  <sheetViews>
    <sheetView tabSelected="1" zoomScaleNormal="100" workbookViewId="0">
      <selection activeCell="B17" sqref="B17"/>
    </sheetView>
  </sheetViews>
  <sheetFormatPr defaultColWidth="9.140625" defaultRowHeight="15"/>
  <cols>
    <col min="1" max="1" width="16.28515625" style="2" customWidth="1"/>
    <col min="2" max="2" width="20.7109375" style="2" customWidth="1"/>
    <col min="3" max="3" width="15.140625" style="2" customWidth="1"/>
    <col min="4" max="4" width="14.5703125" style="2" customWidth="1"/>
    <col min="5" max="5" width="12.7109375" style="2" customWidth="1"/>
    <col min="6" max="6" width="10.85546875" style="2" customWidth="1"/>
    <col min="7" max="8" width="17.5703125" style="2" customWidth="1"/>
    <col min="9" max="9" width="14.42578125" style="2" customWidth="1"/>
    <col min="10" max="10" width="16.5703125" style="2" customWidth="1"/>
    <col min="11" max="16384" width="9.140625" style="2"/>
  </cols>
  <sheetData>
    <row r="1" spans="1:11" ht="18">
      <c r="A1" s="54" t="s">
        <v>22</v>
      </c>
      <c r="B1" s="54"/>
      <c r="C1" s="54"/>
      <c r="D1" s="54"/>
      <c r="E1" s="54"/>
      <c r="F1" s="54"/>
      <c r="G1" s="54"/>
      <c r="H1" s="54"/>
      <c r="I1" s="54"/>
      <c r="J1" s="54"/>
    </row>
    <row r="2" spans="1:11" s="1" customFormat="1" ht="49.5" customHeight="1">
      <c r="A2" s="29" t="s">
        <v>23</v>
      </c>
      <c r="B2" s="30" t="s">
        <v>21</v>
      </c>
      <c r="C2" s="30" t="s">
        <v>20</v>
      </c>
      <c r="D2" s="30" t="s">
        <v>24</v>
      </c>
      <c r="E2" s="30" t="s">
        <v>31</v>
      </c>
      <c r="F2" s="30" t="s">
        <v>30</v>
      </c>
      <c r="G2" s="30" t="s">
        <v>25</v>
      </c>
      <c r="H2" s="30" t="s">
        <v>26</v>
      </c>
      <c r="I2" s="31" t="s">
        <v>0</v>
      </c>
      <c r="J2" s="32" t="s">
        <v>1</v>
      </c>
    </row>
    <row r="3" spans="1:11">
      <c r="A3" s="26" t="s">
        <v>2</v>
      </c>
      <c r="B3" s="13" t="s">
        <v>16</v>
      </c>
      <c r="C3" s="14" t="s">
        <v>10</v>
      </c>
      <c r="D3" s="15">
        <v>7999</v>
      </c>
      <c r="E3" s="16">
        <v>373</v>
      </c>
      <c r="F3" s="16">
        <v>123</v>
      </c>
      <c r="G3" s="15">
        <f t="shared" ref="G3:G14" si="0">D3*E3</f>
        <v>2983627</v>
      </c>
      <c r="H3" s="15">
        <f>'Зад. 4'!$D3 *'Зад. 4'!$F3</f>
        <v>983877</v>
      </c>
      <c r="I3" s="17" t="s">
        <v>19</v>
      </c>
      <c r="J3" s="28">
        <v>44552</v>
      </c>
      <c r="K3" s="1"/>
    </row>
    <row r="4" spans="1:11">
      <c r="A4" s="26" t="s">
        <v>3</v>
      </c>
      <c r="B4" s="14" t="s">
        <v>16</v>
      </c>
      <c r="C4" s="14" t="s">
        <v>10</v>
      </c>
      <c r="D4" s="15">
        <v>10999</v>
      </c>
      <c r="E4" s="16">
        <v>266</v>
      </c>
      <c r="F4" s="16">
        <v>238</v>
      </c>
      <c r="G4" s="15">
        <f t="shared" si="0"/>
        <v>2925734</v>
      </c>
      <c r="H4" s="15">
        <f>'Зад. 4'!$D4 *'Зад. 4'!$F4</f>
        <v>2617762</v>
      </c>
      <c r="I4" s="16" t="s">
        <v>19</v>
      </c>
      <c r="J4" s="28">
        <v>44228</v>
      </c>
      <c r="K4" s="1"/>
    </row>
    <row r="5" spans="1:11">
      <c r="A5" s="26" t="s">
        <v>4</v>
      </c>
      <c r="B5" s="14" t="s">
        <v>18</v>
      </c>
      <c r="C5" s="14" t="s">
        <v>10</v>
      </c>
      <c r="D5" s="15">
        <v>100999</v>
      </c>
      <c r="E5" s="16">
        <v>454</v>
      </c>
      <c r="F5" s="16">
        <v>326</v>
      </c>
      <c r="G5" s="15">
        <f t="shared" si="0"/>
        <v>45853546</v>
      </c>
      <c r="H5" s="15">
        <f>'Зад. 4'!$D5 *'Зад. 4'!$F5</f>
        <v>32925674</v>
      </c>
      <c r="I5" s="16" t="s">
        <v>19</v>
      </c>
      <c r="J5" s="28">
        <v>44242</v>
      </c>
      <c r="K5" s="1"/>
    </row>
    <row r="6" spans="1:11">
      <c r="A6" s="26" t="s">
        <v>5</v>
      </c>
      <c r="B6" s="14" t="s">
        <v>18</v>
      </c>
      <c r="C6" s="14" t="s">
        <v>11</v>
      </c>
      <c r="D6" s="15">
        <v>201999</v>
      </c>
      <c r="E6" s="16">
        <v>398</v>
      </c>
      <c r="F6" s="16">
        <v>191</v>
      </c>
      <c r="G6" s="15">
        <f t="shared" si="0"/>
        <v>80395602</v>
      </c>
      <c r="H6" s="15">
        <f>'Зад. 4'!$D6 *'Зад. 4'!$F6</f>
        <v>38581809</v>
      </c>
      <c r="I6" s="17" t="s">
        <v>19</v>
      </c>
      <c r="J6" s="28">
        <v>44545</v>
      </c>
      <c r="K6" s="1"/>
    </row>
    <row r="7" spans="1:11">
      <c r="A7" s="26" t="s">
        <v>6</v>
      </c>
      <c r="B7" s="19" t="s">
        <v>16</v>
      </c>
      <c r="C7" s="19" t="s">
        <v>11</v>
      </c>
      <c r="D7" s="15">
        <v>19999</v>
      </c>
      <c r="E7" s="16">
        <v>275</v>
      </c>
      <c r="F7" s="16">
        <v>227</v>
      </c>
      <c r="G7" s="15">
        <f t="shared" si="0"/>
        <v>5499725</v>
      </c>
      <c r="H7" s="15">
        <f>'Зад. 4'!$D7 *'Зад. 4'!$F7</f>
        <v>4539773</v>
      </c>
      <c r="I7" s="16" t="s">
        <v>19</v>
      </c>
      <c r="J7" s="28">
        <v>44255</v>
      </c>
      <c r="K7" s="1"/>
    </row>
    <row r="8" spans="1:11">
      <c r="A8" s="26" t="s">
        <v>28</v>
      </c>
      <c r="B8" s="14" t="s">
        <v>16</v>
      </c>
      <c r="C8" s="14" t="s">
        <v>15</v>
      </c>
      <c r="D8" s="15">
        <v>30999</v>
      </c>
      <c r="E8" s="16">
        <v>315</v>
      </c>
      <c r="F8" s="16">
        <v>110</v>
      </c>
      <c r="G8" s="15">
        <f t="shared" si="0"/>
        <v>9764685</v>
      </c>
      <c r="H8" s="15">
        <f>'Зад. 4'!$D8 *'Зад. 4'!$F8</f>
        <v>3409890</v>
      </c>
      <c r="I8" s="17" t="s">
        <v>19</v>
      </c>
      <c r="J8" s="28">
        <v>44439</v>
      </c>
      <c r="K8" s="1"/>
    </row>
    <row r="9" spans="1:11">
      <c r="A9" s="26" t="s">
        <v>7</v>
      </c>
      <c r="B9" s="14" t="s">
        <v>18</v>
      </c>
      <c r="C9" s="14" t="s">
        <v>15</v>
      </c>
      <c r="D9" s="15">
        <v>220999</v>
      </c>
      <c r="E9" s="16">
        <v>355</v>
      </c>
      <c r="F9" s="16">
        <v>355</v>
      </c>
      <c r="G9" s="15">
        <f t="shared" si="0"/>
        <v>78454645</v>
      </c>
      <c r="H9" s="15">
        <f>'Зад. 4'!$D9 *'Зад. 4'!$F9</f>
        <v>78454645</v>
      </c>
      <c r="I9" s="16" t="s">
        <v>19</v>
      </c>
      <c r="J9" s="28">
        <v>44387</v>
      </c>
      <c r="K9" s="1"/>
    </row>
    <row r="10" spans="1:11">
      <c r="A10" s="26" t="s">
        <v>29</v>
      </c>
      <c r="B10" s="19" t="s">
        <v>18</v>
      </c>
      <c r="C10" s="14" t="s">
        <v>15</v>
      </c>
      <c r="D10" s="15">
        <v>129344</v>
      </c>
      <c r="E10" s="16">
        <v>427</v>
      </c>
      <c r="F10" s="16">
        <v>426</v>
      </c>
      <c r="G10" s="15">
        <f t="shared" si="0"/>
        <v>55229888</v>
      </c>
      <c r="H10" s="15">
        <f>'Зад. 4'!$D10 *'Зад. 4'!$F10</f>
        <v>55100544</v>
      </c>
      <c r="I10" s="16" t="s">
        <v>19</v>
      </c>
      <c r="J10" s="28">
        <v>44540</v>
      </c>
      <c r="K10" s="1"/>
    </row>
    <row r="11" spans="1:11">
      <c r="A11" s="26" t="s">
        <v>8</v>
      </c>
      <c r="B11" s="14" t="s">
        <v>17</v>
      </c>
      <c r="C11" s="14" t="s">
        <v>13</v>
      </c>
      <c r="D11" s="15">
        <v>45999</v>
      </c>
      <c r="E11" s="16">
        <v>303</v>
      </c>
      <c r="F11" s="16">
        <v>123</v>
      </c>
      <c r="G11" s="15">
        <f t="shared" si="0"/>
        <v>13937697</v>
      </c>
      <c r="H11" s="15">
        <f>'Зад. 4'!$D11 *'Зад. 4'!$F11</f>
        <v>5657877</v>
      </c>
      <c r="I11" s="16" t="s">
        <v>19</v>
      </c>
      <c r="J11" s="28">
        <v>44523</v>
      </c>
      <c r="K11" s="1"/>
    </row>
    <row r="12" spans="1:11">
      <c r="A12" s="27" t="s">
        <v>14</v>
      </c>
      <c r="B12" s="14" t="s">
        <v>18</v>
      </c>
      <c r="C12" s="19" t="s">
        <v>15</v>
      </c>
      <c r="D12" s="15">
        <v>100343</v>
      </c>
      <c r="E12" s="16">
        <v>298</v>
      </c>
      <c r="F12" s="16">
        <v>175</v>
      </c>
      <c r="G12" s="15">
        <f t="shared" si="0"/>
        <v>29902214</v>
      </c>
      <c r="H12" s="15">
        <f>'Зад. 4'!$D12 *'Зад. 4'!$F12</f>
        <v>17560025</v>
      </c>
      <c r="I12" s="16" t="s">
        <v>19</v>
      </c>
      <c r="J12" s="28">
        <v>44355</v>
      </c>
      <c r="K12" s="1"/>
    </row>
    <row r="13" spans="1:11">
      <c r="A13" s="26" t="s">
        <v>9</v>
      </c>
      <c r="B13" s="14" t="s">
        <v>16</v>
      </c>
      <c r="C13" s="14" t="s">
        <v>10</v>
      </c>
      <c r="D13" s="15">
        <v>47999</v>
      </c>
      <c r="E13" s="16">
        <v>214</v>
      </c>
      <c r="F13" s="16">
        <v>115</v>
      </c>
      <c r="G13" s="15">
        <f t="shared" si="0"/>
        <v>10271786</v>
      </c>
      <c r="H13" s="15">
        <f>'Зад. 4'!$D13 *'Зад. 4'!$F13</f>
        <v>5519885</v>
      </c>
      <c r="I13" s="16" t="s">
        <v>19</v>
      </c>
      <c r="J13" s="28">
        <v>44250</v>
      </c>
      <c r="K13" s="1"/>
    </row>
    <row r="14" spans="1:11">
      <c r="A14" s="33" t="s">
        <v>12</v>
      </c>
      <c r="B14" s="34" t="s">
        <v>17</v>
      </c>
      <c r="C14" s="34" t="s">
        <v>13</v>
      </c>
      <c r="D14" s="35">
        <v>38999</v>
      </c>
      <c r="E14" s="36">
        <v>100</v>
      </c>
      <c r="F14" s="36">
        <v>94</v>
      </c>
      <c r="G14" s="35">
        <f t="shared" si="0"/>
        <v>3899900</v>
      </c>
      <c r="H14" s="35">
        <f>'Зад. 4'!$D14 *'Зад. 4'!$F14</f>
        <v>3665906</v>
      </c>
      <c r="I14" s="36" t="s">
        <v>19</v>
      </c>
      <c r="J14" s="37">
        <v>44385</v>
      </c>
      <c r="K14" s="1"/>
    </row>
    <row r="15" spans="1:11">
      <c r="D15" s="3"/>
      <c r="K15" s="1"/>
    </row>
    <row r="16" spans="1:11" ht="30">
      <c r="A16" s="6" t="s">
        <v>32</v>
      </c>
      <c r="B16" s="7">
        <f>AVERAGEIF(C3:C14,"Япония",_xlnm.Criteria)</f>
        <v>42499</v>
      </c>
      <c r="C16" s="55"/>
    </row>
    <row r="17" spans="1:4" ht="30">
      <c r="A17" s="6" t="s">
        <v>33</v>
      </c>
      <c r="B17" s="7">
        <f>МИНЗНАЧЕСЛИ(_xlnm.Criteria,C3:C14,"США")</f>
        <v>30999</v>
      </c>
      <c r="C17" s="4"/>
      <c r="D17" s="4"/>
    </row>
  </sheetData>
  <autoFilter ref="C2:C14"/>
  <dataConsolidate>
    <dataRefs count="1">
      <dataRef ref="D14:E14" sheet="Зад. 1"/>
    </dataRefs>
  </dataConsolidate>
  <mergeCells count="1">
    <mergeCell ref="A1:J1"/>
  </mergeCells>
  <pageMargins left="0.7" right="0.7" top="0.75" bottom="0.75" header="0.3" footer="0.3"/>
  <pageSetup paperSize="9"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4FE0F10-BDEC-4C41-BB7C-A2914A328E7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6</vt:i4>
      </vt:variant>
      <vt:variant>
        <vt:lpstr>Именованные диапазоны</vt:lpstr>
      </vt:variant>
      <vt:variant>
        <vt:i4>9</vt:i4>
      </vt:variant>
    </vt:vector>
  </HeadingPairs>
  <TitlesOfParts>
    <vt:vector size="15" baseType="lpstr">
      <vt:lpstr>Зад. 1</vt:lpstr>
      <vt:lpstr>Зад. 2</vt:lpstr>
      <vt:lpstr>Зад. 3А</vt:lpstr>
      <vt:lpstr>Зад. 3Б</vt:lpstr>
      <vt:lpstr>Зад. 3В</vt:lpstr>
      <vt:lpstr>Зад. 4</vt:lpstr>
      <vt:lpstr>'Зад. 3А'!Извлечь</vt:lpstr>
      <vt:lpstr>'Зад. 3Б'!Извлечь</vt:lpstr>
      <vt:lpstr>'Зад. 3В'!Извлечь</vt:lpstr>
      <vt:lpstr>'Зад. 1'!Критерии</vt:lpstr>
      <vt:lpstr>'Зад. 2'!Критерии</vt:lpstr>
      <vt:lpstr>'Зад. 3А'!Критерии</vt:lpstr>
      <vt:lpstr>'Зад. 3Б'!Критерии</vt:lpstr>
      <vt:lpstr>'Зад. 3В'!Критерии</vt:lpstr>
      <vt:lpstr>'Зад. 4'!Критерии</vt:lpstr>
    </vt:vector>
  </TitlesOfParts>
  <Company>БГУ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Лень Алексей Юрьевич</dc:creator>
  <cp:lastModifiedBy>Лень Алексей Юрьевич</cp:lastModifiedBy>
  <cp:lastPrinted>2022-03-09T09:56:38Z</cp:lastPrinted>
  <dcterms:created xsi:type="dcterms:W3CDTF">2022-02-28T04:18:23Z</dcterms:created>
  <dcterms:modified xsi:type="dcterms:W3CDTF">2022-03-14T06:16:49Z</dcterms:modified>
</cp:coreProperties>
</file>